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hopewellsolutions.sharepoint.com/sites/Testable-ExecutionTeam/Shared Documents/General/Enterprise Documents/"/>
    </mc:Choice>
  </mc:AlternateContent>
  <xr:revisionPtr revIDLastSave="0" documentId="8_{58A141D4-5543-4721-B2BA-F6C276C95246}" xr6:coauthVersionLast="47" xr6:coauthVersionMax="47" xr10:uidLastSave="{00000000-0000-0000-0000-000000000000}"/>
  <bookViews>
    <workbookView xWindow="0" yWindow="660" windowWidth="29400" windowHeight="16660" firstSheet="1" activeTab="1" xr2:uid="{00000000-000D-0000-FFFF-FFFF00000000}"/>
  </bookViews>
  <sheets>
    <sheet name="Overview" sheetId="1" r:id="rId1"/>
    <sheet name="White Box" sheetId="2" r:id="rId2"/>
    <sheet name="Black Box" sheetId="3" r:id="rId3"/>
    <sheet name="Security Code (Repository)" sheetId="10" r:id="rId4"/>
    <sheet name="Security URL (API Service)" sheetId="11" r:id="rId5"/>
    <sheet name="Compliance" sheetId="7" state="hidden" r:id="rId6"/>
    <sheet name="Performance Code (Repository)" sheetId="12" r:id="rId7"/>
    <sheet name="Compliance URL (API Service)" sheetId="8" r:id="rId8"/>
    <sheet name="Performance URL (API Service)" sheetId="13" r:id="rId9"/>
    <sheet name="Compliance Code (Repository)" sheetId="9" r:id="rId10"/>
  </sheets>
  <definedNames>
    <definedName name="_xlnm._FilterDatabase" localSheetId="2" hidden="1">'Black Box'!$A$3:$M$26</definedName>
    <definedName name="_xlnm._FilterDatabase" localSheetId="3" hidden="1">'Security Code (Repository)'!$A$1:$P$15</definedName>
    <definedName name="_xlnm._FilterDatabase" localSheetId="1" hidden="1">'White Box'!$A$1:$AH$114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 i="2" l="1"/>
</calcChain>
</file>

<file path=xl/sharedStrings.xml><?xml version="1.0" encoding="utf-8"?>
<sst xmlns="http://schemas.openxmlformats.org/spreadsheetml/2006/main" count="5259" uniqueCount="2190">
  <si>
    <t>TESTABLE  —  AI-Driven Engineering Confidence Platform  |  Strategy &amp; Metrics Mapping</t>
  </si>
  <si>
    <t>Version 1.0  |  MVP Scope: EdTech &amp; Retail Domains  |  Languages: JS / TS / JSX / TSX / Vue / Python / Java / C# / Node.js / PHP / Ruby / C / C++</t>
  </si>
  <si>
    <t>TAXONOMY HIERARCHY  (L1 → L5)</t>
  </si>
  <si>
    <t>L1 – Strategy</t>
  </si>
  <si>
    <t>White Box  ·  Black Box  ·  Performance Testing  ·  Security &amp; Compliance  ·  Operational Integrity</t>
  </si>
  <si>
    <t>L2 – Testing Type</t>
  </si>
  <si>
    <t>e.g. Structural Analysis, Security White-box, API Testing, Reliability Testing, OWASP Testing</t>
  </si>
  <si>
    <t>L3 – Technique</t>
  </si>
  <si>
    <t>e.g. Cyclomatic Complexity, SAST, Dependency Risk, Load Signal Delta, Error State Stability</t>
  </si>
  <si>
    <t>L4 – Classification</t>
  </si>
  <si>
    <t>e.g. Control Flow Testing, OWASP Top 10 Vulnerability Scan, Stress Testing, PII Data Exposure Detection</t>
  </si>
  <si>
    <t>L5 – Metric</t>
  </si>
  <si>
    <t>e.g. Execution Path Integrity, OWASP High/Critical Finding Count, p95 Response Time (ms), CHD Exposure Finding Count</t>
  </si>
  <si>
    <t>OUTPUT COLUMN GUIDE</t>
  </si>
  <si>
    <t>L1 Strategy</t>
  </si>
  <si>
    <t>Top-level testing philosophy grouping</t>
  </si>
  <si>
    <t>L2 Testing Type</t>
  </si>
  <si>
    <t>The testing discipline within the strategy</t>
  </si>
  <si>
    <t>L3 Technique</t>
  </si>
  <si>
    <t>Specific analytical technique applied</t>
  </si>
  <si>
    <t>L4 Classification</t>
  </si>
  <si>
    <t>Sub-classification of the technique</t>
  </si>
  <si>
    <t>L5 Metric</t>
  </si>
  <si>
    <t>The measurable output signal</t>
  </si>
  <si>
    <t>What Does The Metric Measure?</t>
  </si>
  <si>
    <t>Plain-language definition of what the metric captures</t>
  </si>
  <si>
    <t>Primary Tool</t>
  </si>
  <si>
    <t>Principal recommended open-source / commercial tool</t>
  </si>
  <si>
    <t>Secondary Tool</t>
  </si>
  <si>
    <t>Alternative or complementary tool</t>
  </si>
  <si>
    <t>Optional Tool</t>
  </si>
  <si>
    <t>Additional tool used for enhanced coverage (where applicable)</t>
  </si>
  <si>
    <t>Languages Supported</t>
  </si>
  <si>
    <t>Programming languages for which the metric and tools apply</t>
  </si>
  <si>
    <t>Raw Measurement Formula</t>
  </si>
  <si>
    <t>The mathematical or logical formula used to compute the raw metric</t>
  </si>
  <si>
    <t>Expected Value / Threshold</t>
  </si>
  <si>
    <t>Target value or pass threshold per market / industry standard</t>
  </si>
  <si>
    <t>Normalisation Formula (0–100)</t>
  </si>
  <si>
    <t>Formula to convert raw metric to a 0–100 Testable confidence score</t>
  </si>
  <si>
    <t>Execution Frequency</t>
  </si>
  <si>
    <t>Recommended measurement cadence for a confident, recent score</t>
  </si>
  <si>
    <t>SHEET DIRECTORY</t>
  </si>
  <si>
    <t>White Box</t>
  </si>
  <si>
    <t>Static structural analysis — complexity, duplication, SAST, SCA, control flow, mutation, data flow (all languages consolidated)</t>
  </si>
  <si>
    <t>Black Box</t>
  </si>
  <si>
    <t>Behavioural / runtime validation — functional, API, compatibility, accessibility testing</t>
  </si>
  <si>
    <t>Performance Testing</t>
  </si>
  <si>
    <t>Load, stress, baseline regression, latency (p95/p99), soak, spike testing</t>
  </si>
  <si>
    <t>Security &amp; Compliance</t>
  </si>
  <si>
    <t>OWASP Top 10, PCI-DSS, FERPA/COPPA, GDPR, SOC 2 testing</t>
  </si>
  <si>
    <t>Static structural analysis of code internals  |  All Languages Consolidated: Java · JavaScript · TypeScript · Python · C · C++ · C#</t>
  </si>
  <si>
    <t>Python</t>
  </si>
  <si>
    <t>Metric emitted directly?</t>
  </si>
  <si>
    <t>Derivation</t>
  </si>
  <si>
    <t>C</t>
  </si>
  <si>
    <t>C++</t>
  </si>
  <si>
    <t>Java</t>
  </si>
  <si>
    <t>Metrics emitted directly</t>
  </si>
  <si>
    <t>C#</t>
  </si>
  <si>
    <t>JavaScript</t>
  </si>
  <si>
    <t>TypeScript</t>
  </si>
  <si>
    <t>Primary</t>
  </si>
  <si>
    <t>Secondary</t>
  </si>
  <si>
    <t>▶  STRUCTURAL ANALYSIS — Cyclomatic Complexity, Cognitive Complexity &amp; Maintainability</t>
  </si>
  <si>
    <t>Structural Analysis</t>
  </si>
  <si>
    <t>Cyclomatic Complexity</t>
  </si>
  <si>
    <t>Static Analysis Metric</t>
  </si>
  <si>
    <t>Execution Path Integrity</t>
  </si>
  <si>
    <t>Number of independent execution paths through a function; reflects decision-point density and branch explosion risk</t>
  </si>
  <si>
    <t>Crosshair</t>
  </si>
  <si>
    <t>Mccabe</t>
  </si>
  <si>
    <t>No</t>
  </si>
  <si>
    <t>execution_path_integrity = (
    functions_without_counterexample / max(total_functions_checked, 1)
)</t>
  </si>
  <si>
    <t>lizard</t>
  </si>
  <si>
    <t>cyclomatic</t>
  </si>
  <si>
    <t>Lizard</t>
  </si>
  <si>
    <t>CK</t>
  </si>
  <si>
    <t>Pmd</t>
  </si>
  <si>
    <t>Yes</t>
  </si>
  <si>
    <t>execution_path_complexity = wmc</t>
  </si>
  <si>
    <t>csharp cyclomatic</t>
  </si>
  <si>
    <t>Execution Path Integrity Score = 1 / (1 + average_cyclomatic_complexity)</t>
  </si>
  <si>
    <t>Plato</t>
  </si>
  <si>
    <t>CC = E – N + 2P  (E=edges, N=nodes, P=connected components)</t>
  </si>
  <si>
    <t>&lt;= 10 per function (lower is better)</t>
  </si>
  <si>
    <t>MAX(0, 100 – ((CC–1)/9 × 100))  capped 0–100</t>
  </si>
  <si>
    <t>Every Commit / PR</t>
  </si>
  <si>
    <t>Decision Coverage</t>
  </si>
  <si>
    <t>Decision Outcome Verification</t>
  </si>
  <si>
    <t>It measures whether every "fork in the road" (like an if statement) has been executed for both True and False results. It ensures that both the success and failure branches of a decision are validated.</t>
  </si>
  <si>
    <t>Coverage.py</t>
  </si>
  <si>
    <t>decision_coverage = covered_branches / max(num_branches, 1)</t>
  </si>
  <si>
    <t>decision_complexity = methodsInvokedQty</t>
  </si>
  <si>
    <t>Decision Density = average_cyclomatic_complexity
Decision Outcome Verification Score = 1 / (1 + Decision Density)</t>
  </si>
  <si>
    <t>Health Score = (Modules with MI &gt;= 65 / Total Modules) × 100</t>
  </si>
  <si>
    <t>&gt;= 80% of modules in green zone (MI &gt;= 65)</t>
  </si>
  <si>
    <t>Score = Health Score % [gate at 80%]</t>
  </si>
  <si>
    <t xml:space="preserve">Condition Coverage  </t>
  </si>
  <si>
    <t>Logical Sub-expression Validation</t>
  </si>
  <si>
    <t>It measures whether each individual component of a compound logical statement (e.g., in if A and B, checking A and B separately) has been evaluated as both True and False.</t>
  </si>
  <si>
    <t>Pymcdc</t>
  </si>
  <si>
    <t>condition_coverage = covered_mcdc_conditions / max(total_mcdc_conditions, 1)</t>
  </si>
  <si>
    <t>condition_complexity = wmc</t>
  </si>
  <si>
    <t>Condition Complexity =
    cyclomatic_complexity * (1 + max_nesting_depth)
Logical Validation Score = 1 / (1 + Condition Complexity)</t>
  </si>
  <si>
    <t>Refactor ROI Score = Count(Modules with MI &lt; 40) × 20 + Count(Modules with MI 40–64) × 5</t>
  </si>
  <si>
    <t>0 modules in red zone (MI &lt; 40); &lt; 10 in yellow zone</t>
  </si>
  <si>
    <t>MAX(0, 100 – Refactor_ROI_Score)</t>
  </si>
  <si>
    <t>Logic Coverage Metric</t>
  </si>
  <si>
    <t>Total Logical Combinatorial Coverage</t>
  </si>
  <si>
    <t>It measures the percentage of all possible unique sequences of branches that have been traveled. While branch coverage looks at individual forks, path coverage looks at the entire "journey" through the function.</t>
  </si>
  <si>
    <t>logical_combinatorial_coverage = (
    functions_without_counterexample / max(total_functions_checked, 1)
)</t>
  </si>
  <si>
    <t>logical_combinatorial_complexity = wmc * methodsInvokedQty</t>
  </si>
  <si>
    <t>Total Logical Paths =
    cyclomatic_complexity * (1 + max_nesting_depth)
Normalized Coverage Score = 1 / Total Logical Paths</t>
  </si>
  <si>
    <t>Testability Score = AVG(MI) across all modules in scope</t>
  </si>
  <si>
    <t>AVG MI &gt;= 65 across codebase</t>
  </si>
  <si>
    <t>Score = MIN(100, AVG_MI) [already 0–100 scale]</t>
  </si>
  <si>
    <t>Maintainability Analysis</t>
  </si>
  <si>
    <t>Technical Debt Impact</t>
  </si>
  <si>
    <t>It measures how likely a developer is to introduce a bug while trying to fix another one. High complexity scores here identify code that is "brittle" and expensive to change or support over time.</t>
  </si>
  <si>
    <t>Radon/Lizard</t>
  </si>
  <si>
    <t>technical_debt = sum(ccn_values)</t>
  </si>
  <si>
    <t>technical_debt = wmc + cbo + lcom</t>
  </si>
  <si>
    <t>Normalized CC = average_cyclomatic_complexity / 10
Normalized NLOC = average_nloc / 200
Normalized ND = ND / 10
Technical Debt Score =
    (Normalized CC * 0.5)
  + (Normalized NLOC * 0.3)
  + (Normalized ND * 0.2)</t>
  </si>
  <si>
    <t>MI Delta = AVG(MI_Current_Sprint) – AVG(MI_Previous_Sprint)</t>
  </si>
  <si>
    <t>MI Delta &gt;= 0 (no degradation); flag if delta &lt; -3</t>
  </si>
  <si>
    <t>MAX(0, 100 + (MI_Delta × 5)) capped 0–100</t>
  </si>
  <si>
    <t>Test Prioritization</t>
  </si>
  <si>
    <t>QA Resource Allocation</t>
  </si>
  <si>
    <t>It helps managers decide where to send the most experienced testers. Logic with high cognitive complexity is prioritized for deeper testing because it is the most likely place for edge-case bugs to hide.</t>
  </si>
  <si>
    <t>testmon</t>
  </si>
  <si>
    <t>test_execution_efficiency = tests_saved / max(tests_all, 1)</t>
  </si>
  <si>
    <t>qa_priority = (wmc * loc) + cbo</t>
  </si>
  <si>
    <t>Function Risk Score =
    (cyclomatic_complexity * 0.5)
  + (max_nesting_depth * 0.3)
  + (fan_out * 0.2)
QA Priority Rank = sort DESC</t>
  </si>
  <si>
    <t>Regression Risk Score = Count(Modules with MI &lt; 40 AND recently churned) × 25</t>
  </si>
  <si>
    <t>0 low-MI modules with recent churn</t>
  </si>
  <si>
    <t>MAX(0, 100 – Regression_Risk_Score)</t>
  </si>
  <si>
    <t>Readability / Maintainability</t>
  </si>
  <si>
    <t>Cognitive Complexity</t>
  </si>
  <si>
    <t>Maintainability Evaluation</t>
  </si>
  <si>
    <t>Evaluates how likely a developer is to introduce a bug while fixing another. High complexity scores flag code that is brittle and expensive to change or support over time.</t>
  </si>
  <si>
    <t>cognitive-ast</t>
  </si>
  <si>
    <t>radon_cc</t>
  </si>
  <si>
    <t>cc - cognitive complexity value
Technical Debt Score = min(100, cc * 5)</t>
  </si>
  <si>
    <t>clang-tidy</t>
  </si>
  <si>
    <t>cognitive-c-parser</t>
  </si>
  <si>
    <t>PMD</t>
  </si>
  <si>
    <t>cognitive calc</t>
  </si>
  <si>
    <t>technical_debt = violations_count</t>
  </si>
  <si>
    <t>Roslyn</t>
  </si>
  <si>
    <t>simple cognitive</t>
  </si>
  <si>
    <t>Technical Debt Score =
  (Critical Issues * 5)
+ (High Issues * 3)
+ (Medium Issues * 2)
+ (Low Issues * 1)</t>
  </si>
  <si>
    <t>eslint-plugin-sonarjs</t>
  </si>
  <si>
    <t>sonarjs</t>
  </si>
  <si>
    <t xml:space="preserve">
Technical Debt Score =
    Weighted Issue Score / files_analysed</t>
  </si>
  <si>
    <t>complexity report</t>
  </si>
  <si>
    <t>Debt Score = Count(Units with CogCC &gt; 15) × 10 + Count(Units with CogCC 10–15) × 3</t>
  </si>
  <si>
    <t>0 units exceeding CogCC 15; &lt; 5 units in amber range (10–15)</t>
  </si>
  <si>
    <t>MAX(0, 100 – Debt_Score)</t>
  </si>
  <si>
    <t>Testability Analysis</t>
  </si>
  <si>
    <t>Unit Test Complexity</t>
  </si>
  <si>
    <t>Measures the difficulty of writing a test that covers all possible states. If code is hard to understand, it is mathematically harder to ensure the test suite is meaningful.</t>
  </si>
  <si>
    <t>cc - cognitive complexity value
Unit Test Complexity = cc + 1</t>
  </si>
  <si>
    <t>unit_test_complexity = cognitive_violations</t>
  </si>
  <si>
    <t>Test Complexity Score =
  (#ComplexityRelatedViolations * 3)
+ (#HighSeverityViolations * 2)</t>
  </si>
  <si>
    <t>Complexity Issues =
    count(issues where ruleId indicates:
        "cognitive-complexity"
        OR "nested-control-flow"
        OR "complex-condition")
Unit Test Complexity Score =
    Complexity Issues / Total Issues</t>
  </si>
  <si>
    <t>Test Complexity Score = AVG(CogCC) across all testable units in module</t>
  </si>
  <si>
    <t>AVG CogCC &lt;= 10 per module</t>
  </si>
  <si>
    <t>MAX(0, 100 – ((AVG_CogCC – 1) / 9 × 100)) capped 0–100</t>
  </si>
  <si>
    <t>Risk Detection</t>
  </si>
  <si>
    <t>Defect Probability</t>
  </si>
  <si>
    <t>Identifies hotspots in the code where the logic is so dense that human error is almost guaranteed, acting as an early warning system before the code is deployed.</t>
  </si>
  <si>
    <t>cc - cognitive complexity value
Defect Probability (%) = min(90, cc * 4)</t>
  </si>
  <si>
    <t>defect_risk = cognitive_violations / max(total_violations, 1)</t>
  </si>
  <si>
    <t>Defect Probability Score =
  (#CriticalIssues * 5)
+ (#BugProneIssues * 3)</t>
  </si>
  <si>
    <t>High Severity Issues =
    count(issues where severity &gt;= medium)
Defect Probability =
    High Severity Issues / Total Issues</t>
  </si>
  <si>
    <t>Hotspot Count = Count(functions where CogCC &gt; 20)</t>
  </si>
  <si>
    <t>0 functions with CogCC &gt; 20</t>
  </si>
  <si>
    <t>MAX(0, 100 – (Hotspot_Count × 15))</t>
  </si>
  <si>
    <t>Refactoring Guidance</t>
  </si>
  <si>
    <t>Modularization Opportunity</t>
  </si>
  <si>
    <t>Points to specific blocks of code that should be broken down into smaller, simpler functions, measuring the simplicity payoff if a specific area is refactored.</t>
  </si>
  <si>
    <t>cc - cognitive complexity value
Suggested Modules = ceil(cc / 5)</t>
  </si>
  <si>
    <t>refactor_candidates = cognitive_violations</t>
  </si>
  <si>
    <t>Modularization Score =
  (#DesignRelatedViolations * 3)
+ (#HighSeverityViolations * 2)</t>
  </si>
  <si>
    <t>Repeated Issue Patterns =
    count of duplicate ruleId occurrences
Modularization Opportunity Score =
    Repeated Issue Patterns / Total Issues</t>
  </si>
  <si>
    <t>Refactor Candidate % = (Functions with CogCC &gt; 15 / Total Functions) × 100</t>
  </si>
  <si>
    <t>&lt; 5% of functions flagged as refactor candidates</t>
  </si>
  <si>
    <t>MAX(0, 100 – (Refactor_Candidate% × 10))</t>
  </si>
  <si>
    <t>Code Review Support</t>
  </si>
  <si>
    <t>Reviewer Fatigue Factor</t>
  </si>
  <si>
    <t>Estimates how much time a peer reviewer will need to spend verifying logic. High scores suggest a code review might be ineffective because the logic is too convoluted to check visually.</t>
  </si>
  <si>
    <t>cc - cognitive complexity value
Fatigue Score = cc * 3</t>
  </si>
  <si>
    <t>reviewer_fatigue = violations_count</t>
  </si>
  <si>
    <t>Reviewer Fatigue =
  Total Violations / Number of Files</t>
  </si>
  <si>
    <t>Issue Density =
    Total Issues / files_analysed
Reviewer Fatigue Score =
    Issue Density * average_severity_weight</t>
  </si>
  <si>
    <t>Fatigue Score = Count(PRs containing functions with CogCC &gt; 15) / Total PRs × 100</t>
  </si>
  <si>
    <t>&lt; 10% of PRs contain high-CogCC functions</t>
  </si>
  <si>
    <t>MAX(0, 100 – (Fatigue_Score × 5))</t>
  </si>
  <si>
    <t>Testing Effort Prioritization</t>
  </si>
  <si>
    <t>Helps managers direct the most experienced testers toward logic with high cognitive complexity, as it is the most likely place for edge-case bugs to hide.</t>
  </si>
  <si>
    <t>cc - cognitive complexity value
if cc &lt;= 3 → Low priority</t>
  </si>
  <si>
    <t>qa_priority = violations_count</t>
  </si>
  <si>
    <t>QA Priority Score =
  (#CriticalIssues * 5)
+ (#BugProneIssues * 4)
+ (#ComplexityIssues * 2)</t>
  </si>
  <si>
    <t>File Risk Score =
    (# issues in file * avg severity in file)
QA Priority Rank =
    sort(File Risk Score DESC)</t>
  </si>
  <si>
    <t>Allocation Coverage % = (High-CogCC Functions with dedicated test cases / Total High-CogCC Functions) × 100</t>
  </si>
  <si>
    <t>100% of CogCC &gt; 15 functions have dedicated test cases</t>
  </si>
  <si>
    <t>Score = Allocation Coverage % [gate at 100%]</t>
  </si>
  <si>
    <t>Code Understandability Analysis</t>
  </si>
  <si>
    <t>Human Cognitive Load</t>
  </si>
  <si>
    <t>Structural complexity penalising nesting depth and recursive flow; measures human comprehension difficulty</t>
  </si>
  <si>
    <t>cc - cognitive complexity value
Cognitive Load Score = cc * 5</t>
  </si>
  <si>
    <t>cognitive_load = cognitive_complexity_violations</t>
  </si>
  <si>
    <t>Cognitive Load Score =
  (#ReadabilityViolations * 2)
+ (#NamingViolations * 1.5)
+ (#ComplexityRelatedViolations * 2)</t>
  </si>
  <si>
    <t>Unique Rule Types =
    count(unique(ruleId))
Node Spread =
    count(unique(nodeType))
Cognitive Load Score =
    (Total Issues + Unique Rule Types + Node Spread) / files_analysed</t>
  </si>
  <si>
    <t>CogCC = sum of nesting-weighted increments for breaks in linear flow</t>
  </si>
  <si>
    <t>&lt;= 15 per unit (lower is better)</t>
  </si>
  <si>
    <t>MAX(0, 100 – ((CogCC–1)/14 × 100))  capped 0–100</t>
  </si>
  <si>
    <t>▶  CODE QUALITY AUDITING — Duplication, Maintainability Index &amp; Lint</t>
  </si>
  <si>
    <t>Code Quality Auditing</t>
  </si>
  <si>
    <t>Code Duplication</t>
  </si>
  <si>
    <t>Defect Propagation Risk Detection</t>
  </si>
  <si>
    <t>Multi-Point Failure Probability</t>
  </si>
  <si>
    <t>Identifies the risk that a single bug exists in multiple locations due to copy-paste programming, measuring how likely an error is to spread across the system.</t>
  </si>
  <si>
    <t>jscpd</t>
  </si>
  <si>
    <t>copydetect</t>
  </si>
  <si>
    <t>MPFP = (GroupSize \times RiskFactor) / TotalFragments</t>
  </si>
  <si>
    <t>CPD</t>
  </si>
  <si>
    <t>checkstyle duplicate</t>
  </si>
  <si>
    <t>multi_point_failure = duplication_blocks</t>
  </si>
  <si>
    <t>pmd cpd</t>
  </si>
  <si>
    <t>MultiPointFailureProbability = (duplicatedLines / lines)</t>
  </si>
  <si>
    <t>jsinspect</t>
  </si>
  <si>
    <t>Propagation Risk = Count(Duplicated Blocks with confirmed defect history) × 20</t>
  </si>
  <si>
    <t>0 defect-linked duplicated blocks in codebase</t>
  </si>
  <si>
    <t>MAX(0, 100 – Propagation_Risk)</t>
  </si>
  <si>
    <t>Daily</t>
  </si>
  <si>
    <t>Refactoring Identification</t>
  </si>
  <si>
    <t>Redundancy Localization</t>
  </si>
  <si>
    <t>Pinpoints specific clusters of identical or near-identical code that should be merged into a single reusable function, identifying exactly which files are bloating the project.</t>
  </si>
  <si>
    <t>Count of unique clone groups in report</t>
  </si>
  <si>
    <t>redundancy_locations = duplication_blocks</t>
  </si>
  <si>
    <t>RedundancyLocalization = clones / sources</t>
  </si>
  <si>
    <t>Redundancy Score = Count(Clone Clusters with &gt;= 3 instances) × 10 + Count(Clone Clusters with 2 instances) × 3</t>
  </si>
  <si>
    <t>0 clone clusters with 3+ instances; &lt; 5 two-instance clusters</t>
  </si>
  <si>
    <t>MAX(0, 100 – Redundancy_Score)</t>
  </si>
  <si>
    <t>Code Quality Assessment</t>
  </si>
  <si>
    <t>Structural Cleanliness Score</t>
  </si>
  <si>
    <t>Evaluates the overall cleanliness of the code by measuring the percentage of duplication. High duplication scores indicate a lack of modular design and poor abstraction.</t>
  </si>
  <si>
    <t>Derivation: 
1 - (Total Duplicated Lines / Total Repository Lines)</t>
  </si>
  <si>
    <t>structural_cleanliness_issues = duplicated_lines</t>
  </si>
  <si>
    <t>StructuralCleanlinessScore = 1 - (duplicatedLines / lines)</t>
  </si>
  <si>
    <t>Cleanliness Score = 100 – ((Duplicated Lines / Total Lines) × 100)</t>
  </si>
  <si>
    <t>&gt;= 95% unique code (&lt; 5% duplication)</t>
  </si>
  <si>
    <t>Score = Cleanliness Score % [gate at 95%]</t>
  </si>
  <si>
    <t>Test Maintenance Reduction</t>
  </si>
  <si>
    <t>Test Suite Streamlining</t>
  </si>
  <si>
    <t>Measures the redundant effort spent writing similar tests for identical code blocks, reducing the number of tests that need to be managed, updated, and run.</t>
  </si>
  <si>
    <t>Duplicated Lines / Total lines</t>
  </si>
  <si>
    <t>test_redundancy = duplication_blocks</t>
  </si>
  <si>
    <t>TestSuiteStreamlining = duplicatedLines / lines</t>
  </si>
  <si>
    <t>Redundant Test % = (Duplicated Test Blocks / Total Test Lines) × 100</t>
  </si>
  <si>
    <t>&lt; 3% test code duplication</t>
  </si>
  <si>
    <t>MAX(0, 100 – (Redundant_Test% / 3 × 100))</t>
  </si>
  <si>
    <t>Refactoring Opportunity Detection</t>
  </si>
  <si>
    <t>Abstraction Potential</t>
  </si>
  <si>
    <t>Identifies patterns where common logic can be abstracted into a shared library or parent class, measuring the simplicity gain from replacing repeated blocks with a single well-defined interface.</t>
  </si>
  <si>
    <t>Avg Fragment Size \times Clone Group Size</t>
  </si>
  <si>
    <t>abstraction_opportunities = duplication_blocks</t>
  </si>
  <si>
    <t>AbstractionPotential = duplicatedTokens / tokens</t>
  </si>
  <si>
    <t>Abstraction Score = (Lines Reducible via Abstraction / Total Duplicated Lines) × 100</t>
  </si>
  <si>
    <t>&gt;= 80% of duplicated lines are abstractable</t>
  </si>
  <si>
    <t>Score = Abstraction Score % [gate at 80%]</t>
  </si>
  <si>
    <t>Risk-Based Testing Prioritization</t>
  </si>
  <si>
    <t>Regression Focus Mapping</t>
  </si>
  <si>
    <t>Helps prioritize testing for areas where duplication is high, directing QA resources to verify that all instances of duplicated logic behave identically under stress.</t>
  </si>
  <si>
    <t>Total Duplicated Tokens / Total Repository Tokens</t>
  </si>
  <si>
    <t>regression_focus = duplication_blocks</t>
  </si>
  <si>
    <t>RegressionFocusMapping = (duplicatedLines / lines) * (clones / sources)</t>
  </si>
  <si>
    <t>Regression Focus % = (Duplicated Modules Covered by Regression Tests / Total Duplicated Modules) × 100</t>
  </si>
  <si>
    <t>100% of duplicated modules included in regression suite</t>
  </si>
  <si>
    <t>Score = Regression Focus % [gate at 100%]</t>
  </si>
  <si>
    <t>Maintainability Testing</t>
  </si>
  <si>
    <t>Synchronization Verification</t>
  </si>
  <si>
    <t>% of code lines that are duplicated (cloned blocks) across the repository; indicates copy-paste debt</t>
  </si>
  <si>
    <t>Lines in SYNC fragment / Lines in ASYNC fragment</t>
  </si>
  <si>
    <t>synchronization_risk = files_involved</t>
  </si>
  <si>
    <t>SynchronizationVerification = duplicatedLines / lines</t>
  </si>
  <si>
    <t>Duplication % = (Duplicated Lines / Total Lines) × 100</t>
  </si>
  <si>
    <t>&lt;= 5% duplicated lines preferred</t>
  </si>
  <si>
    <t>MAX(0, 100 – (Dup% / 5 × 100))  [5% = score 0]</t>
  </si>
  <si>
    <t>Static Code Analysis</t>
  </si>
  <si>
    <t>Lint / Rule Violations</t>
  </si>
  <si>
    <t>Rule Detection Test</t>
  </si>
  <si>
    <t>Violation Density per KLOC</t>
  </si>
  <si>
    <t>Count of lint violations bucketed by severity (error, warning, info) per 1000 lines of code</t>
  </si>
  <si>
    <t>pylint</t>
  </si>
  <si>
    <t>flake8</t>
  </si>
  <si>
    <t>N = total number of JSON objects (violations)</t>
  </si>
  <si>
    <t>cppcheck</t>
  </si>
  <si>
    <t>Checkstyle</t>
  </si>
  <si>
    <t>pmd</t>
  </si>
  <si>
    <t>violation_density = violations_count</t>
  </si>
  <si>
    <t>roslyn sast</t>
  </si>
  <si>
    <t>roslyn</t>
  </si>
  <si>
    <t>Violation Density =
  (TotalDiagnostics / LineCount) * 1000</t>
  </si>
  <si>
    <t>eslint</t>
  </si>
  <si>
    <t>"TotalViolations = errorCount + warningCount ViolationDensity = TotalViolations / (LOC / 1000)"</t>
  </si>
  <si>
    <t>biome</t>
  </si>
  <si>
    <t>totalViolations = errors + warnings + infos
if totalViolations == 0 → return 0 (or 1 depending on metric intent)</t>
  </si>
  <si>
    <t>Violation Density = (Errors×3 + Warnings×1) / (LOC/1000)</t>
  </si>
  <si>
    <t>0 blocking errors; &lt; 10 warnings per KLOC</t>
  </si>
  <si>
    <t>MAX(0, 100 – (Errors×5 + Warnings×1))</t>
  </si>
  <si>
    <t>Unused Variable Detection</t>
  </si>
  <si>
    <t>Resource Waste Identification</t>
  </si>
  <si>
    <t>Scans the code for variables that are declared but never referenced in any operation, measuring technical debt from dead allocations that clutter the code and confuse future maintainers.</t>
  </si>
  <si>
    <t>Total Duplicate Lines = SUM(endLine - line + 1)</t>
  </si>
  <si>
    <t>unused_variable_violations = count(
    error where source contains "Unused"
)</t>
  </si>
  <si>
    <t>Resource Waste Proxy =
  VariableDeclarations - IdentifierUsageReferences</t>
  </si>
  <si>
    <t>"UnusedVarViolations = count(messages where ruleId == ""no-unused-vars"") ResourceWasteIdentification = UnusedVarViolations / TotalViolations"</t>
  </si>
  <si>
    <t>Resource Waste Score =
    count(diagnostics where message/category contains "unused")
    / (errors + warnings + infos)</t>
  </si>
  <si>
    <t>Dead Allocation % = (Unused Variables / Total Declared Variables) × 100</t>
  </si>
  <si>
    <t>&lt; 1% unused variable declarations per module</t>
  </si>
  <si>
    <t>MAX(0, 100 – (Dead_Allocation% × 50))</t>
  </si>
  <si>
    <t>Naming Convention Validation</t>
  </si>
  <si>
    <t>Semantic Consistency Score</t>
  </si>
  <si>
    <t>Verifies that variables, functions, and classes follow specific casing and descriptive standards, measuring the guessability and professionalism of the code to improve readability.</t>
  </si>
  <si>
    <t>Semantic Consistency = 1 - (Unique Rule Types / Total Violations)</t>
  </si>
  <si>
    <t>semantic_consistency = 1 / (1 + missing_javadoc)</t>
  </si>
  <si>
    <t>Semantic Consistency =
  IdentifierName / SyntaxNodeTotal</t>
  </si>
  <si>
    <t>"NamingViolations = count(messages where ruleId contains ""camelcase"" OR ""naming"") SemanticConsistencyScore = 1 - (NamingViolations / TotalViolations)"</t>
  </si>
  <si>
    <t>Semantic Consistency Score =
    1 - (
        count(diagnostics where category contains "naming")
        / (errors + warnings + infos)
    )</t>
  </si>
  <si>
    <t>Convention Violation Rate = (Naming Violations / Total Named Identifiers) × 100</t>
  </si>
  <si>
    <t>&lt; 2% naming convention violations across codebase</t>
  </si>
  <si>
    <t>MAX(0, 100 – (Convention_Violation_Rate × 25))</t>
  </si>
  <si>
    <t>Code Style Rule Validation</t>
  </si>
  <si>
    <t>Syntactic Uniformity Score</t>
  </si>
  <si>
    <t>Enforces rules regarding indentation, line length, and whitespace to ensure visual consistency so that code written by multiple developers looks uniform.</t>
  </si>
  <si>
    <t>Uniformity Score = 1 - (STDEV(duplicate line counts) / AVERAGE(duplicate line counts))</t>
  </si>
  <si>
    <t>syntactic_uniformity = 1 / (1 + indentation_issues)</t>
  </si>
  <si>
    <t>Syntactic Uniformity =
  1 - (ParseDiagnostics / SyntaxNodeTotal)</t>
  </si>
  <si>
    <t>SyntacticUniformityScore = 1 - (fixableWarningCount / TotalViolations)</t>
  </si>
  <si>
    <t>Syntactic Uniformity Score =
    1 - (
        count(diagnostics where category contains "style")
        / (errors + warnings + infos)
    )</t>
  </si>
  <si>
    <t>Style Violation Density = Style Violations / (LOC / 1000)</t>
  </si>
  <si>
    <t>&lt; 5 style violations per KLOC</t>
  </si>
  <si>
    <t>MAX(0, 100 – (Style_Violation_Density × 10))</t>
  </si>
  <si>
    <t>Complexity Rule Detection</t>
  </si>
  <si>
    <t>Structural Threshold Monitoring</t>
  </si>
  <si>
    <t>Flags functions that exceed specific limits for nesting depth or length, measuring the mental load required to process a module and identifying candidates for immediate refactoring.</t>
  </si>
  <si>
    <t>Threshold Score = COUNT(duplicate lines &gt; 10) / Total Violations</t>
  </si>
  <si>
    <t>structural_threshold = violations_count</t>
  </si>
  <si>
    <t>Structural Complexity Score =
  (IfStatement + ForStatement + WhileStatement) / LineCount</t>
  </si>
  <si>
    <t>"ComplexityViolations = count(messages where ruleId == ""complexity"") StructuralThresholdMonitoring = ComplexityViolations / TotalViolations"</t>
  </si>
  <si>
    <t>Structural Risk Score =
    count(diagnostics where category contains "complexity")
    / (errors + warnings + infos)</t>
  </si>
  <si>
    <t>Complexity Breach Count = Count(Functions exceeding nesting depth &gt; 4 or length &gt; 50 lines)</t>
  </si>
  <si>
    <t>0 functions breaching nesting or length thresholds</t>
  </si>
  <si>
    <t>MAX(0, 100 – (Complexity_Breach_Count × 10))</t>
  </si>
  <si>
    <t>Rule Severity Classification</t>
  </si>
  <si>
    <t>Impact Prioritization</t>
  </si>
  <si>
    <t>Categorizes violations as Errors, Warnings, or Info based on their risk level, helping developers focus on fixing critical structural flaws before minor stylistic nitpicks.</t>
  </si>
  <si>
    <t>Impact Score = Unique Modules / Unique Files</t>
  </si>
  <si>
    <t>impact_priority = errors * 2 + warnings</t>
  </si>
  <si>
    <t>Impact Score =
  TotalDiagnostics / SyntaxNodeTotal</t>
  </si>
  <si>
    <t>ImpactPrioritization = errorCount / TotalViolations</t>
  </si>
  <si>
    <t>Weighted Impact Score =
    (errors * 3 + warnings * 2 + infos)
    / (errors + warnings + infos)</t>
  </si>
  <si>
    <t>Severity Score = Count(Error violations) × 10 + Count(Warning violations) × 2 + Count(Info violations) × 0.5</t>
  </si>
  <si>
    <t>0 Error-level violations; &lt; 10 Warning-level per KLOC</t>
  </si>
  <si>
    <t>MAX(0, 100 – Severity_Score)</t>
  </si>
  <si>
    <t>Multiple Violations Detection</t>
  </si>
  <si>
    <t>Aggregated Risk Assessment</t>
  </si>
  <si>
    <t>Identifies modules that suffer from a high density of different rule breaks, measuring the instability of a file and highlighting parts of the system most likely to contain bugs.</t>
  </si>
  <si>
    <t>Risk Score = Total Violations * Average Duplicate Lines</t>
  </si>
  <si>
    <t>aggregated_risk = violations_count</t>
  </si>
  <si>
    <t>Aggregated Risk Score =
  (TotalDiagnostics ^ 2) / LineCount</t>
  </si>
  <si>
    <t>AggregatedRiskAssessment = (errorCount * 2 + warningCount) / TotalViolations</t>
  </si>
  <si>
    <t>Aggregated Risk Score =
    (errors + warnings + infos)
    / count(distinct diagnostic.location.path)</t>
  </si>
  <si>
    <t>Hotfile Score = Count(Files with &gt; 10 violations) × 15 + Count(Files with 5–10 violations) × 5</t>
  </si>
  <si>
    <t>0 files with &gt; 10 violations; &lt; 5 files in amber range</t>
  </si>
  <si>
    <t>MAX(0, 100 – Hotfile_Score)</t>
  </si>
  <si>
    <t>False Positive Prevention</t>
  </si>
  <si>
    <t>Accuracy Tuning</t>
  </si>
  <si>
    <t>Filters out rule violations that are intentional or contextually irrelevant, measuring the reliability of the analysis tool to ensure developers do not ignore valid warnings.</t>
  </si>
  <si>
    <t>Accuracy = 1 - (Unique Rule IDs - 1) / Total Violations</t>
  </si>
  <si>
    <t>accuracy_proxy = 1 / (1 + warnings)</t>
  </si>
  <si>
    <t>Diagnostic Stability =
  1 - (ParseDiagnostics / TotalDiagnostics)</t>
  </si>
  <si>
    <t>"SuppressedCount = length(suppressedMessages) AccuracyTuning = 1 - (SuppressedCount / TotalViolations)"</t>
  </si>
  <si>
    <t>Accuracy Score =
    1 - (
        (diagnosticsNotPrinted + suggestedFixesSkipped)
        / (errors + warnings + infos)
    )</t>
  </si>
  <si>
    <t>False Positive Rate % = (Intentionally suppressed violations / Total Flagged Violations) × 100</t>
  </si>
  <si>
    <t>&lt; 10% suppression rate (high suppression signals misconfigured rules)</t>
  </si>
  <si>
    <t>MAX(0, 100 – (False_Positive_Rate% × 5))</t>
  </si>
  <si>
    <t>Custom Rule Validation</t>
  </si>
  <si>
    <t>Project-Specific Enforcement</t>
  </si>
  <si>
    <t>Allows the team to create and enforce unique rules tailored to specific requirements, measuring compliance with internal business logic or architecture that generic tools might miss.</t>
  </si>
  <si>
    <t>Project Enforcement = Unique Modules / Total Violations</t>
  </si>
  <si>
    <t>custom_rule_enforcement = violations_count</t>
  </si>
  <si>
    <t>Custom Rule Coverage =
  TotalDiagnostics / SyntaxNodeTotal</t>
  </si>
  <si>
    <t>N/A</t>
  </si>
  <si>
    <t>"CustomRuleViolations = count(messages where ruleId contains ""/"") ProjectSpecificEnforcement = CustomRuleViolations / TotalViolations"</t>
  </si>
  <si>
    <t>Custom Enforcement Score =
    count(diagnostics where category contains "custom")
    / (errors + warnings + infos)</t>
  </si>
  <si>
    <t>Custom Rule Pass Rate % = (Custom Rule Checks Passing / Total Custom Rule Checks) × 100</t>
  </si>
  <si>
    <t>100% of project-specific custom rules passing</t>
  </si>
  <si>
    <t>Score = Custom Rule Pass Rate % [gate at 100%]</t>
  </si>
  <si>
    <t>Configuration File Handling</t>
  </si>
  <si>
    <t>Environment Standardization</t>
  </si>
  <si>
    <t>Manages the configuration files that define which rules are active across the team, ensuring every developer on the project is using the exact same quality settings.</t>
  </si>
  <si>
    <t>Standardization = Unique Types / Total Violations</t>
  </si>
  <si>
    <t>environment_uniformity = 1 / (1 + violations_count)</t>
  </si>
  <si>
    <t>Standardization Score =
  1 - (CompilationDiagnostics / SyntaxNodeTotal)</t>
  </si>
  <si>
    <t>EnvironmentStandardization = 1 - (usedDeprecatedRules.length / TotalViolations)</t>
  </si>
  <si>
    <t>Standardization Score =
    (changed + unchanged)
    / (changed + unchanged + skipped)</t>
  </si>
  <si>
    <t>Config Drift Score = Count(Devs with lint config deviating from team standard)</t>
  </si>
  <si>
    <t>0 developers with non-standard lint configuration</t>
  </si>
  <si>
    <t>MAX(0, 100 – (Config_Drift_Score × 25))</t>
  </si>
  <si>
    <t>CI/CD Integration Validation</t>
  </si>
  <si>
    <t>Automated Gatekeeping</t>
  </si>
  <si>
    <t>Runs quality checks automatically during the build process, measuring readiness for merge by blocking any code that fails to meet the minimum quality bar before it can be merged.</t>
  </si>
  <si>
    <t>Gate = IF(Total Violations &gt; Threshold, "FAIL", "PASS")</t>
  </si>
  <si>
    <t>gatekeeping_score = errors</t>
  </si>
  <si>
    <t>Gatekeeping Pass =
  (CompilationDiagnostics == 0) ? 1 : 0</t>
  </si>
  <si>
    <t>AutomatedGatekeeping = fatalErrorCount</t>
  </si>
  <si>
    <t>Gate Score =
    1 - (errors / max(totalViolations, 1))</t>
  </si>
  <si>
    <t>Pipeline Gate Pass Rate % = (Builds passing lint gate / Total Builds) × 100</t>
  </si>
  <si>
    <t>100% of builds pass lint quality gate before merge</t>
  </si>
  <si>
    <t>Score = Pipeline Gate Pass Rate % [gate at 100%]</t>
  </si>
  <si>
    <t>Violation Reporting Validation</t>
  </si>
  <si>
    <t>Quality Audit Trail</t>
  </si>
  <si>
    <t>Generates detailed logs of all detected issues including line numbers and fix suggestions, providing a transparent record of code health for reviews and long-term quality tracking.</t>
  </si>
  <si>
    <t>Audit Score = Filled Fields / Total Expected Fields</t>
  </si>
  <si>
    <t>audit_trail = violations_count</t>
  </si>
  <si>
    <t>Audit Trail Score =
  TotalDiagnostics</t>
  </si>
  <si>
    <t>QualityAuditTrail = messages.length / TotalViolations</t>
  </si>
  <si>
    <t>Reporting Completeness =
    (errors + warnings + infos)
    / ((errors + warnings + infos) + diagnosticsNotPrinted)
Audit Efficiency =
    scannerDuration / duration</t>
  </si>
  <si>
    <t>Report Coverage % = (Violations with line-number + fix suggestion logged / Total Violations) × 100</t>
  </si>
  <si>
    <t>&gt;= 95% of violations have complete audit log entry</t>
  </si>
  <si>
    <t>Score = Report Coverage % [gate at 95%]</t>
  </si>
  <si>
    <t>▶  SECURITY WHITE-BOX — SAST, SCA</t>
  </si>
  <si>
    <t>Security White-box Testing</t>
  </si>
  <si>
    <t>Static Vulnerabilities (SAST)</t>
  </si>
  <si>
    <t>Secure Coding Validation</t>
  </si>
  <si>
    <t>Best Practice Compliance</t>
  </si>
  <si>
    <t>Checks the code against industry-standard secure coding guidelines like OWASP, ensuring developers use safe functions and avoid dangerous coding habits that lead to vulnerabilities.</t>
  </si>
  <si>
    <t>Semgrep OSS
+
Bandit</t>
  </si>
  <si>
    <t>semgrep</t>
  </si>
  <si>
    <t>Compliance Score =
1 - ((Semgrep ERROR + Bandit HIGH + Bandit MEDIUM) / loc)</t>
  </si>
  <si>
    <t>flawfinder</t>
  </si>
  <si>
    <t>spotbugs</t>
  </si>
  <si>
    <t>pmd sast</t>
  </si>
  <si>
    <t>Best Practice Compliance (BPC) = 1 - (total_bugs / total_classes)</t>
  </si>
  <si>
    <t>Semgrep</t>
  </si>
  <si>
    <t>Best Practice Compliance Score =
  1 - (WeightedCount(best_practices) / TotalWeightedFindings)</t>
  </si>
  <si>
    <t>eslint-plugin-security</t>
  </si>
  <si>
    <t>security-eslint</t>
  </si>
  <si>
    <t>BestPracticeCompliance = 1 - (errorCount / TotalVulnerabilities)</t>
  </si>
  <si>
    <t>snyk</t>
  </si>
  <si>
    <t>Compliance Score = (OWASP-Compliant Functions / Total Functions) × 100</t>
  </si>
  <si>
    <t>&gt;= 95% of functions compliant with secure coding guidelines</t>
  </si>
  <si>
    <t>Score = Compliance Score % [gate at 95%]</t>
  </si>
  <si>
    <t>Input Validation Testing</t>
  </si>
  <si>
    <t>Entry Point Sanitization</t>
  </si>
  <si>
    <t>Measures how effectively the code cleans data coming from external sources, identifying locations where user input is used directly in sensitive operations without being checked for malicious content.</t>
  </si>
  <si>
    <t>bandit</t>
  </si>
  <si>
    <t>Entry Points =
count(Semgrep injection-related results)</t>
  </si>
  <si>
    <t>Entry Point Sanitization Score (EPS) = 1 - (total_bugs / total_size)</t>
  </si>
  <si>
    <t>Entry Point Sanitization Risk =
  WeightedCount(input_validation)</t>
  </si>
  <si>
    <t>InputValidationIssues = count(messages where ruleId contains "detect-non-literal" OR "unsafe-regex")
EntryPointSanitization = 1 - (InputValidationIssues / TotalVulnerabilities)</t>
  </si>
  <si>
    <t>Sanitization Coverage % = (Sanitized Entry Points / Total External Entry Points) × 100</t>
  </si>
  <si>
    <t>100% of external entry points have input sanitization</t>
  </si>
  <si>
    <t>Score = Sanitization Coverage % [gate at 100%]</t>
  </si>
  <si>
    <t>Data Flow Security Analysis</t>
  </si>
  <si>
    <t>Sensitive Information Tracking</t>
  </si>
  <si>
    <t>Tracks the movement of sensitive data through the application, ensuring private data is encrypted or masked and never leaks into logs or insecure output streams.</t>
  </si>
  <si>
    <t>Sensitive Exposure Count =
count(Semgrep secret-related results)</t>
  </si>
  <si>
    <t>Sensitive Data Flow Risk (SDFR) = total_bugs / total_size</t>
  </si>
  <si>
    <t>Sensitive Data Exposure Score =
  WeightedCount(secrets + dataflow)
Sensitive Data Density =
  Sensitive Data Exposure Score / FilesCount</t>
  </si>
  <si>
    <t>SensitiveDataIssues = count(messages where ruleId contains "detect-object-injection" OR "detect-possible-timing-attacks")
SensitiveInformationTracking = 1 - (SensitiveDataIssues / TotalVulnerabilities)</t>
  </si>
  <si>
    <t>Data Leak Score = Count(Sensitive Data Paths reaching insecure output) × 30</t>
  </si>
  <si>
    <t>0 sensitive data paths reaching logs or unencrypted output</t>
  </si>
  <si>
    <t>MAX(0, 100 – Data_Leak_Score) [any leak = BLOCK]</t>
  </si>
  <si>
    <t>Authentication &amp; Authorization Weakness Detection</t>
  </si>
  <si>
    <t>Access Control Verification</t>
  </si>
  <si>
    <t>Identifies flaws in how the application verifies user identity and permissions, flagging hardcoded passwords, weak session management, or logic that allows users to bypass security checks.</t>
  </si>
  <si>
    <t>Access Control Risk =
count(Semgrep auth-related results)</t>
  </si>
  <si>
    <t>Access Control Risk (ACR) = total_bugs / total_classes</t>
  </si>
  <si>
    <t>Access Control Risk Score =
  WeightedCount(auth + authorization)
Access Control Density =
  Access Control Risk Score / FilesCount</t>
  </si>
  <si>
    <t>AuthIssues = count(messages where ruleId contains "detect-eval-with-expression")
AccessControlVerification = 1 - (AuthIssues / TotalVulnerabilities)</t>
  </si>
  <si>
    <t>Auth Weakness Score = Count(Auth Bypass Paths) × 25 + Count(Weak Session Issues) × 10</t>
  </si>
  <si>
    <t>0 auth bypass paths; 0 weak session management findings</t>
  </si>
  <si>
    <t>MAX(0, 100 – Auth_Weakness_Score)</t>
  </si>
  <si>
    <t>Dependency &amp; Library Vulnerability Detection</t>
  </si>
  <si>
    <t>Supply Chain Security</t>
  </si>
  <si>
    <t>Checks third-party libraries against databases of known security issues, measuring the risk of inherited vulnerabilities that exist in code you did not write yourself.</t>
  </si>
  <si>
    <t>Supply Chain Risk =
count(Semgrep dependency-related results)</t>
  </si>
  <si>
    <t>Supply Chain Risk Proxy (SCRP) = (total_bugs / total_size) * total_classes</t>
  </si>
  <si>
    <t>DynamicExecutionIssues = count(messages where ruleId contains "detect-non-literal-require")
SupplyChainSecurity = DynamicExecutionIssues / TotalVulnerabilities</t>
  </si>
  <si>
    <t>Supply Chain Score = Count(Vuln Library Imports) × 20 + Count(Outdated Imports) × 5</t>
  </si>
  <si>
    <t>0 vulnerable library imports in production build</t>
  </si>
  <si>
    <t>MAX(0, 100 – Supply_Chain_Score)</t>
  </si>
  <si>
    <t>Compliance &amp; Security Standard Validation</t>
  </si>
  <si>
    <t>Regulatory Alignment</t>
  </si>
  <si>
    <t>Verifies if the code meets specific regulatory requirements such as GDPR or HIPAA, providing a report on whether the application is legally and technically secure based on external standards.</t>
  </si>
  <si>
    <t>Regulatory Coverage =
count(Semgrep results with CWE/OWASP)</t>
  </si>
  <si>
    <t>Regulatory Alignment Score (RAS) = 1 - (total_bugs / total_size)</t>
  </si>
  <si>
    <t>Regulatory Compliance Score =
  1 - (WeightedCount(compliance_rules) / TotalWeightedFindings)</t>
  </si>
  <si>
    <t>HighSeverityIssues = errorCount
RegulatoryAlignment = 1 - (HighSeverityIssues / TotalVulnerabilities)</t>
  </si>
  <si>
    <t>Regulatory Score = (Controls Passing Scan / Total Required Controls) × 100</t>
  </si>
  <si>
    <t>&gt;= 100% of regulatory controls passing static scan</t>
  </si>
  <si>
    <t>Score = Regulatory Score % [gate at 100%]</t>
  </si>
  <si>
    <t>Security Vulnerability Detection</t>
  </si>
  <si>
    <t>Exploit Surface Identification</t>
  </si>
  <si>
    <t>Count of high/critical severity vulnerabilities found by static analysis; identifies injection risks, insecure patterns, auth weaknesses</t>
  </si>
  <si>
    <t>Exploit Surface =
Semgrep ERROR + Semgrep WARNING
+ Bandit HIGH + Bandit MEDIUM</t>
  </si>
  <si>
    <t>Exploit Surface (ES) = total_bugs / total_size</t>
  </si>
  <si>
    <t>Exploit Surface Score =
  WeightedCount(high_risk_vulnerabilities)
Exploit Surface Density =
  Exploit Surface Score / FilesCount</t>
  </si>
  <si>
    <t>ExploitSurfaceIdentification = TotalVulnerabilities / (TotalVulnerabilities + 1)</t>
  </si>
  <si>
    <t>SAST Score = Count(Critical)×25 + Count(High)×10 + Count(Medium)×3 + Count(Low)×1</t>
  </si>
  <si>
    <t>0 Critical; 0 High findings per build</t>
  </si>
  <si>
    <t>MAX(0, 100 – SAST_Score)</t>
  </si>
  <si>
    <t>Dependency Risk (SCA)</t>
  </si>
  <si>
    <t>Transitive Dependency Analysis</t>
  </si>
  <si>
    <t>Hidden Relationship Mapping</t>
  </si>
  <si>
    <t>Identifies and analyzes dependencies of dependencies to uncover hidden risks deep in your software stack, measuring the total depth of your external code tree.</t>
  </si>
  <si>
    <t>pip-audit</t>
  </si>
  <si>
    <t>safety</t>
  </si>
  <si>
    <t>Hidden Relationship Risk =  count(total vulnerabilities) / count(dependencies)</t>
  </si>
  <si>
    <t>cve-bin-tool</t>
  </si>
  <si>
    <t>dependency-inventory-audit</t>
  </si>
  <si>
    <t>cvebin</t>
  </si>
  <si>
    <t>dependency inventory</t>
  </si>
  <si>
    <t>OWASP
Dependency-
Check
10.0.4</t>
  </si>
  <si>
    <t>total_packages = sum(len(dep.packages) for dep in dependencies)
hidden_relationship_score = total_packages / TD</t>
  </si>
  <si>
    <t>dotnet package list --include-transitive --vulnerable --format json (NuGet audit)</t>
  </si>
  <si>
    <t>Transitive Dependency Ratio =  TransitivePackages / TotalPackages
Hidden Dependency Score =  TransitivePackages</t>
  </si>
  <si>
    <t>npm ls</t>
  </si>
  <si>
    <t>HiddenRelationshipMapping =
  TotalVulnerabilities === 0 ? 0 : TransitiveVulns / TotalVulnerabilities</t>
  </si>
  <si>
    <t>cyclonedx/cdxgen</t>
  </si>
  <si>
    <t>npm audit</t>
  </si>
  <si>
    <t>Hidden Dependency Ratio =
    count(dependencies where dependsOn.length &gt; 0)
    / count(components)</t>
  </si>
  <si>
    <t>Transitive Risk Score = Count(Vulnerable Transitive Deps) × 20 + Count(Flagged Transitive Deps) × 5</t>
  </si>
  <si>
    <t>0 vulnerable transitive dependencies in resolved tree</t>
  </si>
  <si>
    <t>MAX(0, 100 – Transitive_Risk_Score)</t>
  </si>
  <si>
    <t>License Compliance Testing</t>
  </si>
  <si>
    <t>Legal Risk Validation</t>
  </si>
  <si>
    <t>Checks the legal licenses of every library used to ensure they align with your project goals, measuring the risk of legal action or forced open-sourcing due to restrictive licenses.</t>
  </si>
  <si>
    <t>Legal Risk Proxy =  count(CVE-linked vulnerabilities)</t>
  </si>
  <si>
    <t>OWASP
Dependency-
Check
10.0.5</t>
  </si>
  <si>
    <t>License Risk Score (LRS) = count(dependencies with license != approved_list) / TD</t>
  </si>
  <si>
    <t>Legal Risk Score =
  (Critical * 5)
+ (High * 4)
+ (Moderate * 2)
+ (Low * 1)
+ ((TransitivePackages / TotalPackages) * 2)
+ ((OutdatedPackages / TotalPackages) * 2)</t>
  </si>
  <si>
    <t>RiskyLicenses = count(license contains "GPL" OR "AGPL" OR "UNLICENSED")</t>
  </si>
  <si>
    <t>OSS Review Toolkit (cdxgen license proxy -- ORT not installed)</t>
  </si>
  <si>
    <t>License Risk Score =
    count(evaluator.violations)
    / count(packages)</t>
  </si>
  <si>
    <t>License Risk = Count(Copyleft Deps) × 20 + Count(Restricted Deps) × 10</t>
  </si>
  <si>
    <t>0 copyleft licenses in production dependencies</t>
  </si>
  <si>
    <t>MAX(0, 100 – License_Risk)</t>
  </si>
  <si>
    <t>Weekly</t>
  </si>
  <si>
    <t>Supply Chain Security Analysis</t>
  </si>
  <si>
    <t>Trust Integrity Verification</t>
  </si>
  <si>
    <t>Evaluates the integrity of the source and delivery path of your libraries to prevent poisoned packages, measuring the reliability of maintainers and security of repositories.</t>
  </si>
  <si>
    <t>Supply Chain Risk =
count(all vulnerabilities across dependencies)</t>
  </si>
  <si>
    <t>OWASP
Dependency-
Check
10.0.6</t>
  </si>
  <si>
    <t>deps_with_hash = count(dep for dep in dependencies if dep.sha256 exists)
TCS = deps_with_hash / TD</t>
  </si>
  <si>
    <t>Trust Risk Score =
  (Critical * 5)
+ (High * 4)
+ (Moderate * 2)
+ (Low * 1)</t>
  </si>
  <si>
    <t>npm audit + npm ls</t>
  </si>
  <si>
    <t>TrustIntegrityVerification = 1 - (TotalVulnerabilities / TotalDependencies)</t>
  </si>
  <si>
    <t>OSV-Scanner (OSV REST API v1: POST https://api.osv.dev/v1/querybatch)</t>
  </si>
  <si>
    <t>Vulnerability Density =
    count(matches)
    / count(components)
Critical Vulnerability Ratio =
    count(vulnerabilities where severity == "CRITICAL")
    / count(matches)</t>
  </si>
  <si>
    <t>Trust Score = Count(Unverified Package Sources) × 25 + Count(Deprecated Registries) × 10</t>
  </si>
  <si>
    <t>0 packages from unverified or deprecated sources</t>
  </si>
  <si>
    <t>MAX(0, 100 – Trust_Score)</t>
  </si>
  <si>
    <t>Dependency Health Monitoring</t>
  </si>
  <si>
    <t>Community Vitality Tracking</t>
  </si>
  <si>
    <t>Measures the activity level and support of open-source projects you rely on, identifying zombie libraries abandoned by their creators that are unlikely to be updated if a bug is found.</t>
  </si>
  <si>
    <t>Community Vitality Score = count(vulnerabilities with fix_versions) / count(total vulnerabilities)</t>
  </si>
  <si>
    <t>OWASP
Dependency-
Check
10.0.7</t>
  </si>
  <si>
    <t>Health Risk Proxy (HRP) = count(dependencies with vulnerabilities) / TD</t>
  </si>
  <si>
    <t>Outdated Dependency Ratio =
  OutdatedPackages / TotalPackages</t>
  </si>
  <si>
    <t>VulnerableDependencies = count(unique nodes from npm audit)
CommunityVitalityTracking = 1 - (VulnerableDependencies / TotalDependencies)</t>
  </si>
  <si>
    <t>GitHub API (/repos/nestjs/nest + /releases/latest) + npm downloads API</t>
  </si>
  <si>
    <t>Dependency Health Monitoring =
    count(dependencies where current == latest)
    / count(dependencies)</t>
  </si>
  <si>
    <t>Vitality Score = Count(Abandoned Deps, no commit &gt; 12 months) × 20 + Count(Low-activity Deps) × 5</t>
  </si>
  <si>
    <t>0 abandoned dependencies in production stack</t>
  </si>
  <si>
    <t>MAX(0, 100 – Vitality_Score)</t>
  </si>
  <si>
    <t>Risk Prioritization</t>
  </si>
  <si>
    <t>Mitigation Effort Ranking</t>
  </si>
  <si>
    <t>Ranks identified dependency issues based on severity and exploitability, helping decide which patch to apply first when development time is limited.</t>
  </si>
  <si>
    <t>Mitigation Effort = count(vulnerabilities with fix_versions)</t>
  </si>
  <si>
    <t>OWASP
Dependency-
Check
10.0.8</t>
  </si>
  <si>
    <t>risk_score = sum(all_cvss_scores) / len(all_cvss_scores)</t>
  </si>
  <si>
    <t>Mitigation Priority Score =
  (Critical * 5)
+ (High * 4)
+ (Moderate * 2)
+ (Low * 1)</t>
  </si>
  <si>
    <t>MitigationEffortRanking =
  WeightedRisk / (TotalVulnerabilities * 4)</t>
  </si>
  <si>
    <t>Grype v0.110.0</t>
  </si>
  <si>
    <t>Weighted Vulnerability Score =
    sum(weight(match.vulnerability.severity))
    / count(matches)</t>
  </si>
  <si>
    <t>Prioritization Coverage % = (Critical/High CVE Deps with assigned fix / Total Critical/High CVE Deps) × 100</t>
  </si>
  <si>
    <t>100% of Critical/High CVE deps have assigned remediation</t>
  </si>
  <si>
    <t>Score = Prioritization Coverage % [gate at 100%]</t>
  </si>
  <si>
    <t>Continuous Dependency Monitoring</t>
  </si>
  <si>
    <t>Real-Time Alerting</t>
  </si>
  <si>
    <t>Provides an ongoing watchdog service that alerts immediately when a new vulnerability is discovered in your existing stack, acting as a permanent quality gate as the MVP evolves.</t>
  </si>
  <si>
    <t>Alert Signal =  count(new vulnerabilities detected in scan)</t>
  </si>
  <si>
    <t>OWASP
Dependency-
Check
10.0.9</t>
  </si>
  <si>
    <t>high_risk_vulns = count(
    vuln for dep in dependencies
    for vuln in dep.vulnerabilities
    if vuln.severity in ["HIGH", "CRITICAL"]
)
alert_score = high_risk_vulns</t>
  </si>
  <si>
    <t>Real-Time Alert Indicator =
  (VulnerablePackages &gt; 0) ? 1 : 0</t>
  </si>
  <si>
    <t>RealTimeAlerting = TotalVulnerabilities &gt; 0 ? 1 : 0</t>
  </si>
  <si>
    <t>Dependabot (GitHub Security Advisories API: GET /repos/nestjs/nest/security-advisories)</t>
  </si>
  <si>
    <t>Alert Density =
    count(security_advisories)
    / count(components)</t>
  </si>
  <si>
    <t>Alert Response Rate % = (New CVE Alerts Actioned within SLA / Total New CVE Alerts) × 100</t>
  </si>
  <si>
    <t>100% of new CVE alerts actioned within 24hrs (Critical) / 72hrs (High)</t>
  </si>
  <si>
    <t>Score = Alert Response Rate % [gate at 100%]</t>
  </si>
  <si>
    <t>Vulnerability Dependency Detection</t>
  </si>
  <si>
    <t>Known CVE Count</t>
  </si>
  <si>
    <t>Count of known CVEs in third-party dependencies, categorised by CVSS severity</t>
  </si>
  <si>
    <t>Known CVE Count =
count(vulnerabilities with CVE in aliases)</t>
  </si>
  <si>
    <t>OWASP
Dependency-
Check
10.0.10</t>
  </si>
  <si>
    <t>cve_count = sum(len(dep.vulnerabilities) for dep in dependencies)</t>
  </si>
  <si>
    <t>Known CVE Count =
  Total Vulnerabilities</t>
  </si>
  <si>
    <t>KnownCVECount = TotalVulnerabilities</t>
  </si>
  <si>
    <t>Known CVE Count =
    count(distinct vulnerability.id)
Fix Availability Ratio =
    count(matches where vulnerability.fix exists)
    / count(matches)</t>
  </si>
  <si>
    <t>CVE Score = Count(Crit)×25 + Count(High)×10 + Count(Med)×3 + Count(Low)×1</t>
  </si>
  <si>
    <t>0 Critical CVEs; 0 High CVEs in production dependencies</t>
  </si>
  <si>
    <t>MAX(0, 100 – CVE_Score)</t>
  </si>
  <si>
    <t>Outdated Dependency Detection</t>
  </si>
  <si>
    <t>Version Lag Assessment</t>
  </si>
  <si>
    <t>Measures the age of your libraries by comparing installed versions against the latest stable releases, identifying components that no longer receive security patches.</t>
  </si>
  <si>
    <t>Version Lag =  count(vulnerabilities with fix_versions)</t>
  </si>
  <si>
    <t>OWASP
Dependency-
Check
10.0.11</t>
  </si>
  <si>
    <t>outdated_deps = count(
    dep for dep in dependencies
    for vuln in dep.vulnerabilities
    if dep.version &lt; vuln.vulnerableSoftware.versionEndExcluding
)
version_lag_score = outdated_deps / total_dependencies</t>
  </si>
  <si>
    <t>Version Lag Ratio =  OutdatedPackages / TotalPackages</t>
  </si>
  <si>
    <t>OutdatedDeps = count(dependencies where currentVersion &lt; latestVersion)
VersionLagAssessment = OutdatedDeps / TotalDependencies</t>
  </si>
  <si>
    <t>npm-check-updates (ncu) v19.6.6</t>
  </si>
  <si>
    <t>Version Lag Score =
    count(dependencies where current != latest)
    / count(dependencies)
Update Ratio =
    count(dependencies where current != latest)
    / count(dependencies)</t>
  </si>
  <si>
    <t>Version Lag Score = Count(Deps &gt; 2 major versions behind) × 15 + Count(Deps 1 major version behind) × 5</t>
  </si>
  <si>
    <t>0 dependencies more than 2 major versions behind</t>
  </si>
  <si>
    <t>MAX(0, 100 – Version_Lag_Score)</t>
  </si>
  <si>
    <t>▶  CONTROL FLOW TESTING — Statement, Branch &amp; Path Coverage</t>
  </si>
  <si>
    <t>Control Flow Testing</t>
  </si>
  <si>
    <t>Statement Coverage</t>
  </si>
  <si>
    <t>Unit Testing Support</t>
  </si>
  <si>
    <t>Test Case Granularity</t>
  </si>
  <si>
    <t>Identifies exactly which lines of a function are covered by unit tests and which are ignored, helping developers write more focused tests by highlighting hidden blocks of code.</t>
  </si>
  <si>
    <t>pytest-cov</t>
  </si>
  <si>
    <t>Granularity Proxy =
num_statements / count(dependencies)</t>
  </si>
  <si>
    <t>lcov</t>
  </si>
  <si>
    <t>gcov-line-parser</t>
  </si>
  <si>
    <t>coverage</t>
  </si>
  <si>
    <t>Spotbugs</t>
  </si>
  <si>
    <t>cobetura</t>
  </si>
  <si>
    <t>test_granularity_score = 1 - (total_bugs / total_classes)</t>
  </si>
  <si>
    <t>Coverlet</t>
  </si>
  <si>
    <t>coverlet</t>
  </si>
  <si>
    <t>Test Case Granularity =
  coveredMethods / totalMethods</t>
  </si>
  <si>
    <t>nyc + mocha</t>
  </si>
  <si>
    <t>TestCaseGranularity = TotalTests / TestSuites</t>
  </si>
  <si>
    <t>vitest + @vitest/coverage-v8</t>
  </si>
  <si>
    <t>nyc</t>
  </si>
  <si>
    <t>Test Case Granularity =
    statements.covered / functions.total</t>
  </si>
  <si>
    <t>Granularity Score = (Functions with &gt;= 1 dedicated unit test / Total Functions) × 100</t>
  </si>
  <si>
    <t>&gt;= 90% of functions have at least one dedicated unit test</t>
  </si>
  <si>
    <t>Score = Granularity Score % [gate at 90%]</t>
  </si>
  <si>
    <t>Dead Code Detection</t>
  </si>
  <si>
    <t>Unreachable Logic Identification</t>
  </si>
  <si>
    <t>Identifies ghost code — lines that can never be executed regardless of input provided — measuring technical debt by finding unused functions or conditions that clutter the codebase.</t>
  </si>
  <si>
    <t>Dead Code =
missing_lines</t>
  </si>
  <si>
    <t>dead_code_risk = total_bugs / total_size
dead_code_score = 1 - dead_code_risk</t>
  </si>
  <si>
    <t>Unreachable Logic Ratio =
  (totalLines - coveredLines) / totalLines</t>
  </si>
  <si>
    <t>UnreachableLogic = statements_skipped / statements_total</t>
  </si>
  <si>
    <t>Dead Code Ratio =
    (unusedFiles + unusedExports)
    / count(modules)</t>
  </si>
  <si>
    <t>Dead Code % = (Unexecuted Statements across all runs / Total Statements) × 100</t>
  </si>
  <si>
    <t>&lt; 2% dead code in production modules</t>
  </si>
  <si>
    <t>MAX(0, 100 – (Dead_Code% × 25))</t>
  </si>
  <si>
    <t>Test Completeness Evaluation</t>
  </si>
  <si>
    <t>Coverage Gap Analysis</t>
  </si>
  <si>
    <t>Calculates the ratio of executed lines to total lines to show exactly where the holes are in your quality, measuring the thoroughness of the testing process.</t>
  </si>
  <si>
    <t>Coverage Gap =
missing_lines / num_statements</t>
  </si>
  <si>
    <t>coverage_gap = total_bugs / total_classes
test_completeness_score = 1 - coverage_gap</t>
  </si>
  <si>
    <t>Coverage Gap =
  1 - (coveredLines / totalLines)</t>
  </si>
  <si>
    <t>StatementCoverage = statements_covered / statements_total
CoverageGap = 1 - StatementCoverage</t>
  </si>
  <si>
    <t>Coverage Gap =
    1 - (statements.pct / 100)</t>
  </si>
  <si>
    <t>Gap Score = (Uncovered Statement Blocks / Total Statement Blocks) × 100</t>
  </si>
  <si>
    <t>&lt; 20% uncovered statement blocks (80% coverage floor)</t>
  </si>
  <si>
    <t>MAX(0, 100 – Gap_Score)</t>
  </si>
  <si>
    <t>Basic Logic Validation</t>
  </si>
  <si>
    <t>Surface-Level Correctness</t>
  </si>
  <si>
    <t>Verifies that the code can at least run from start to finish without crashing on a fundamental level, measuring the smoke test success of your logic to ensure the most basic paths are operational.</t>
  </si>
  <si>
    <t>Basic Validation =
percent_covered</t>
  </si>
  <si>
    <t>logic_error_density = total_bugs / total_size
surface_correctness_score = 1 - logic_error_density</t>
  </si>
  <si>
    <t>Surface Correctness Score =
  coveredLines / totalLines</t>
  </si>
  <si>
    <t>SurfaceLevelCorrectness = PassedTests / TotalTests</t>
  </si>
  <si>
    <t>Test Pass Rate =
    passedTests / totalTests</t>
  </si>
  <si>
    <t>Smoke Pass Rate % = (Statements Executed without runtime error / Total Statements Executed) × 100</t>
  </si>
  <si>
    <t>100% of executed statements complete without runtime exception</t>
  </si>
  <si>
    <t>Score = Smoke Pass Rate % [gate at 100%]</t>
  </si>
  <si>
    <t>Code Execution Verification</t>
  </si>
  <si>
    <t>Statement Coverage %</t>
  </si>
  <si>
    <t>% of executable source statements exercised by the test suite at least once</t>
  </si>
  <si>
    <t>Statement Coverage % =
percent_covered</t>
  </si>
  <si>
    <t>statement_coverage_percent = (1 - (total_bugs / total_size)) * 100</t>
  </si>
  <si>
    <t>Statement Coverage % =
  (coveredLines / totalLines) * 100</t>
  </si>
  <si>
    <t>StatementCoveragePercent = statements_pct / 100</t>
  </si>
  <si>
    <t>Execution Coverage =
    lines.pct</t>
  </si>
  <si>
    <t>Statement Coverage % = (Statements Executed / Total Statements) × 100</t>
  </si>
  <si>
    <t>&gt;= 80% statement coverage</t>
  </si>
  <si>
    <t>Score = Statement Coverage %  [gate at 80%]</t>
  </si>
  <si>
    <t>Branch Coverage</t>
  </si>
  <si>
    <t>Conditional Logic Testing</t>
  </si>
  <si>
    <t>Boolean Accuracy Check</t>
  </si>
  <si>
    <t>Evaluates the behavior of complex logical expressions to ensure they branch correctly under different data inputs, measuring the correctness of how your code handles logical operators.</t>
  </si>
  <si>
    <t>pytest-cov --cov-branch</t>
  </si>
  <si>
    <t>Boolean Accuracy =
covered_branches / num_branches</t>
  </si>
  <si>
    <t>gcov-branch-parser</t>
  </si>
  <si>
    <t>boolean_risk = total_bugs / total_classes
boolean_accuracy_score = 1 - boolean_risk</t>
  </si>
  <si>
    <t>Boolean Accuracy =
  coveredBranches / totalBranches</t>
  </si>
  <si>
    <t>BooleanAccuracy = branches_covered / branches_total</t>
  </si>
  <si>
    <t>Branch Coverage % =
    branches.pct</t>
  </si>
  <si>
    <t>Boolean Coverage % = (Logical Sub-expressions evaluated True AND False / Total Sub-expressions × 2) × 100</t>
  </si>
  <si>
    <t>&gt;= 70% of boolean sub-expressions fully evaluated</t>
  </si>
  <si>
    <t>Score = Boolean Coverage % [gate at 70%]</t>
  </si>
  <si>
    <t>Control Flow Validation</t>
  </si>
  <si>
    <t>Sequence Integrity Mapping</t>
  </si>
  <si>
    <t>Verifies the physical transitions between different blocks of code to ensure execution order matches the intended design, measuring the reliability of jumps and calls within your function.</t>
  </si>
  <si>
    <t>Control Flow Integrity =
covered_branches - missing_branches</t>
  </si>
  <si>
    <t>control_flow_risk = total_bugs / total_size
sequence_integrity_score = 1 - control_flow_risk</t>
  </si>
  <si>
    <t>Control Flow Integrity =
  coveredBranches / totalBranches</t>
  </si>
  <si>
    <t>SequenceIntegrity = functions_covered / functions_total</t>
  </si>
  <si>
    <t>Function Coverage % =
    functions.pct</t>
  </si>
  <si>
    <t>Sequence Pass Rate % = (Valid Execution Transitions / Total Expected Transitions) × 100</t>
  </si>
  <si>
    <t>100% of expected code transitions execute in correct sequence</t>
  </si>
  <si>
    <t>Score = Sequence Pass Rate % [gate at 100%]</t>
  </si>
  <si>
    <t>Loop Condition Testing</t>
  </si>
  <si>
    <t>Iteration Boundary Verification</t>
  </si>
  <si>
    <t>Measures whether loops correctly handle the decision to start, continue, and terminate, specifically testing the zero-trip, one-trip, and n-trip paths.</t>
  </si>
  <si>
    <t>Loop Boundary Risk =
missing_branches</t>
  </si>
  <si>
    <t>loop_risk = total_bugs / total_size
loop_boundary_score = 1 - loop_risk</t>
  </si>
  <si>
    <t>Loop Boundary Coverage =
  coveredBranches / totalBranches</t>
  </si>
  <si>
    <t>IterationBoundaryVerification = branches_covered / branches_total</t>
  </si>
  <si>
    <t>Branch Hit Ratio =
    BRH / BRF</t>
  </si>
  <si>
    <t>Loop Boundary Coverage % = (Loop Paths Tested: zero-trip + one-trip + n-trip / Total Loop Paths) × 100</t>
  </si>
  <si>
    <t>100% of loops tested for zero-trip, one-trip, and n-trip paths</t>
  </si>
  <si>
    <t>Score = Loop Boundary Coverage % [gate at 100%]</t>
  </si>
  <si>
    <t>Edge Case Detection</t>
  </si>
  <si>
    <t>Boundary Failure Identification</t>
  </si>
  <si>
    <t>Identifies logical failures at the extreme limits of input values such as empty lists or None types, measuring the robustness of your branches when they encounter unexpected data.</t>
  </si>
  <si>
    <t>Edge Case Risk =
missing_branches / num_branches</t>
  </si>
  <si>
    <t>boundary_failure_risk = total_bugs / total_classes
boundary_detection_score = 1 - boundary_failure_risk</t>
  </si>
  <si>
    <t>Boundary Risk =
  (totalBranches - coveredBranches) / totalBranches</t>
  </si>
  <si>
    <t>BoundaryFailureRate = FailedTests / TotalTests</t>
  </si>
  <si>
    <t>Failure Discovery Rate =
    failedRuns / totalRuns</t>
  </si>
  <si>
    <t>Edge Failure Rate % = (Branch failures at boundary inputs / Total Boundary Input Tests) × 100</t>
  </si>
  <si>
    <t>&lt; 1% edge case branch failures</t>
  </si>
  <si>
    <t>MAX(0, 100 – (Edge_Failure_Rate% × 50))</t>
  </si>
  <si>
    <t>Logic Error Detection</t>
  </si>
  <si>
    <t>Branch Misdirection Discovery</t>
  </si>
  <si>
    <t>Uncovers flaws where the code takes the wrong turn due to a mistake in the conditional expression, acting as a diagnostic tool for semantic bugs that produce the wrong result without crashing.</t>
  </si>
  <si>
    <t>Logic Error Proxy =
missing_branches</t>
  </si>
  <si>
    <t>branch_error_risk = total_bugs / total_size
branch_accuracy_score = 1 - branch_error_risk</t>
  </si>
  <si>
    <t>Branch Risk Score =
  (totalBranches - coveredBranches) / totalBranches</t>
  </si>
  <si>
    <t>BranchMisdirection = 1 - (branches_covered / branches_total)</t>
  </si>
  <si>
    <t>Lint Error Density =
    (errorCount + fatalErrorCount)
    / totalFiles</t>
  </si>
  <si>
    <t>Misdirection Count = Count(Branches producing incorrect output despite execution)</t>
  </si>
  <si>
    <t>0 branches producing semantically incorrect results</t>
  </si>
  <si>
    <t>MAX(0, 100 – (Misdirection_Count × 20))</t>
  </si>
  <si>
    <t>Test Case Completeness</t>
  </si>
  <si>
    <t>Decision Coverage Gap Analysis</t>
  </si>
  <si>
    <t>Calculates the percentage of successfully executed branches versus total available decision points, showing exactly which else or elif blocks have never been visited by your tests.</t>
  </si>
  <si>
    <t>Branch Coverage Gap =
missing_branches / num_branches</t>
  </si>
  <si>
    <t>decision_gap = total_bugs / total_classes
decision_coverage_score = 1 - decision_gap</t>
  </si>
  <si>
    <t>Decision Coverage Gap =
  1 - (coveredBranches / totalBranches)</t>
  </si>
  <si>
    <t>DecisionCoverageGap = 1 - (branches_covered / branches_total)</t>
  </si>
  <si>
    <t>Branch Gap =
    1 - (branches.pct / 100)</t>
  </si>
  <si>
    <t>Decision Gap % = (Untested Decision Branches / Total Decision Branches) × 100</t>
  </si>
  <si>
    <t>&lt; 30% decision branches untested (70% branch coverage floor)</t>
  </si>
  <si>
    <t>MAX(0, 100 – Decision_Gap%)</t>
  </si>
  <si>
    <t>Branch Coverage %</t>
  </si>
  <si>
    <t>% of true/false branches of every decision point executed by tests</t>
  </si>
  <si>
    <t>Branch Coverage % =
percent_branches_covered</t>
  </si>
  <si>
    <t>branch_coverage_percent = (1 - (total_bugs / total_classes)) * 100</t>
  </si>
  <si>
    <t>Branch Coverage % =
  (coveredBranches / totalBranches) * 100</t>
  </si>
  <si>
    <t>BranchCoveragePercent = branches_pct / 100</t>
  </si>
  <si>
    <t>Decision Coverage =
    branches.pct</t>
  </si>
  <si>
    <t>Branch Coverage % = (Branches Hit / Total Branches) × 100</t>
  </si>
  <si>
    <t>&gt;= 70% branch coverage</t>
  </si>
  <si>
    <t>Score = Branch Coverage %  [gate at 70%]</t>
  </si>
  <si>
    <t>Path Coverage</t>
  </si>
  <si>
    <t>Path Execution Tracking</t>
  </si>
  <si>
    <t>Retrieving data. Wait a few seconds and try to cut or copy again.</t>
  </si>
  <si>
    <t>Records exactly which sequences of statements and branches are hit during active testing, providing physical proof of which routes in the code were traveled by a specific test case.</t>
  </si>
  <si>
    <t>coverage.py + ast paths</t>
  </si>
  <si>
    <t>Path Execution Proxy =
covered_lines + covered_branches</t>
  </si>
  <si>
    <t>cfg-path-analyzer</t>
  </si>
  <si>
    <t>Path coverage</t>
  </si>
  <si>
    <t>Jacoco</t>
  </si>
  <si>
    <t>Runtime Journey Monitoring = covered_instructions / (covered_instructions + missed_instructions)</t>
  </si>
  <si>
    <t>OpenTelemetry (.NET) + OTLP/Jaeger/Zipkin exporter</t>
  </si>
  <si>
    <t>csharp call paths</t>
  </si>
  <si>
    <t>RuntimePathCount = UniquePaths
ExecutionVolume = TotalTraces</t>
  </si>
  <si>
    <t>RuntimeJourneyMonitoring = branches_covered / branches_total</t>
  </si>
  <si>
    <t>madge</t>
  </si>
  <si>
    <t>Average Execution Time =
    sum(span.duration) / count(spans)</t>
  </si>
  <si>
    <t>Execution Trace Coverage % = (Recorded Execution Paths / Total Feasible Paths) × 100</t>
  </si>
  <si>
    <t>&gt;= 60% of feasible paths traced during test runs</t>
  </si>
  <si>
    <t>Score = Execution Trace Coverage % [gate at 60%]</t>
  </si>
  <si>
    <t>Complete Coverage Path Verification</t>
  </si>
  <si>
    <t>Full Logic Validation</t>
  </si>
  <si>
    <t>Confirms that every unique path identified by the complexity metric has been successfully traveled, measuring completeness of the test suite against the theoretical maximum of the code logic.</t>
  </si>
  <si>
    <t>Full Path Coverage Proxy =
percent_covered * percent_branches_covered</t>
  </si>
  <si>
    <t>Full Logic Validation = covered_branches / (covered_branches + missed_branches)</t>
  </si>
  <si>
    <t>altcover</t>
  </si>
  <si>
    <t>FullLogicCoverage = coveredSeq / totalSeq</t>
  </si>
  <si>
    <t>FullLogicValidation =
  (
    (branches_covered / branches_total) +
    (functions_covered / functions_total) +
    (statements_covered / statements_total)
  ) / 3</t>
  </si>
  <si>
    <t>@opentelemetry/sdk-node</t>
  </si>
  <si>
    <t>Full Coverage Score =
    (statements.pct + branches.pct + functions.pct + lines.pct) / 4</t>
  </si>
  <si>
    <t>Full Path Validation % = (Paths fully traversed start-to-end / Total CC-derived Paths) × 100</t>
  </si>
  <si>
    <t>100% of CC-derived paths traversed at least once</t>
  </si>
  <si>
    <t>Score = Full Path Validation % [gate at 100%]</t>
  </si>
  <si>
    <t>Partial Path Coverage Detection</t>
  </si>
  <si>
    <t>Gap Identification</t>
  </si>
  <si>
    <t>Highlights logical routes that have only been partially tested or completely ignored, acting as a diagnostic tool to find blind spots where complex logic remains unverified.</t>
  </si>
  <si>
    <t>Path Gap =
missing_lines + missing_branches</t>
  </si>
  <si>
    <t>Gap Identification = missed_branches / (covered_branches + missed_branches)</t>
  </si>
  <si>
    <t>PathCoverageGap = 1 - (coveredBranches / totalBranches)</t>
  </si>
  <si>
    <t>GapIdentification = 1 - (branches_covered / branches_total)</t>
  </si>
  <si>
    <t>fast-check</t>
  </si>
  <si>
    <t>Partial Coverage Ratio =
    (statements.total - statements.covered)
    / statements.total</t>
  </si>
  <si>
    <t>Path Gap % = (Partially or untested paths / Total Feasible Paths) × 100</t>
  </si>
  <si>
    <t>&lt; 40% of paths untested (60% floor)</t>
  </si>
  <si>
    <t>MAX(0, 100 – Path_Gap%)</t>
  </si>
  <si>
    <t>Nested Condition Path Testing</t>
  </si>
  <si>
    <t>Deep Logic Probing</t>
  </si>
  <si>
    <t>Measures system stability when multiple decision points are stacked within one another, ensuring the deepest levels of code hierarchy are reachable and functional.</t>
  </si>
  <si>
    <t>coverage_paths</t>
  </si>
  <si>
    <t>Nested Logic Risk =
num_branches - covered_branches</t>
  </si>
  <si>
    <t>Deep Logic Probing = covered_branches / (covered_branches + missed_branches)</t>
  </si>
  <si>
    <t>DeepPathCoverage = coveredBranches / totalBranches</t>
  </si>
  <si>
    <t>TotalMutants = count(mutants)
KilledMutants = count(mutants where status == "Killed")
DeepLogicProbing = KilledMutants / TotalMutants</t>
  </si>
  <si>
    <t>Complex Branch Ratio =
    branches.total / functions.total</t>
  </si>
  <si>
    <t>Nesting Depth Coverage % = (Paths through nesting depth &gt; 3 tested / Total Deep Paths) × 100</t>
  </si>
  <si>
    <t>&gt;= 60% of deeply nested paths (depth &gt; 3) exercised</t>
  </si>
  <si>
    <t>Score = Nesting Depth Coverage % [gate at 60%]</t>
  </si>
  <si>
    <t>Loop Path Detection</t>
  </si>
  <si>
    <t>Iterative Route Analysis</t>
  </si>
  <si>
    <t>Specifically focuses on paths that enter, repeat, or skip loops entirely, measuring how the code handles different iteration counts including the zero-trip path where the loop never executes.</t>
  </si>
  <si>
    <t>Loop Path Risk =
missing_branches</t>
  </si>
  <si>
    <t>Iterative Route Analysis = covered_complexity / (covered_complexity + missed_complexity)</t>
  </si>
  <si>
    <t>LoopExecutionFrequency = SpanCount / TotalTraces</t>
  </si>
  <si>
    <t>IterativeRouteAnalysis = branches_covered / branches_total</t>
  </si>
  <si>
    <t>Loop Path Risk =
    count(branches where covered &lt; total)
    / branches.total</t>
  </si>
  <si>
    <t>Loop Path Coverage % = (Zero-trip + One-trip + N-trip paths tested / Total Loop Path variants) × 100</t>
  </si>
  <si>
    <t>100% of loop variants (zero, one, n-trip) tested per loop</t>
  </si>
  <si>
    <t>Score = Loop Path Coverage % [gate at 100%]</t>
  </si>
  <si>
    <t>Unreachable Path Detection</t>
  </si>
  <si>
    <t>Ghost Code Discovery</t>
  </si>
  <si>
    <t>Identifies logical routes that can never be executed due to contradictory conditions or dead code, reducing technical debt by pointing out logic that clutters the system without providing value.</t>
  </si>
  <si>
    <t>Unreachable Paths =
missing_lines + missing_branches</t>
  </si>
  <si>
    <t>Ghost Code Discovery = missed_instructions / (covered_instructions + missed_instructions)</t>
  </si>
  <si>
    <t>UnreachablePathRatio = (totalSeq - coveredSeq) / totalSeq</t>
  </si>
  <si>
    <t>SurvivedMutants = count(mutants where status == "Survived")
GhostCodeDiscovery = SurvivedMutants / TotalMutants</t>
  </si>
  <si>
    <t>Unreachable Code Ratio =
    (unusedFiles + uncoveredLines)
    / totalFiles</t>
  </si>
  <si>
    <t>Ghost Path % = (Logically unreachable paths detected / Total Declared Paths) × 100</t>
  </si>
  <si>
    <t>&lt; 2% of declared paths are unreachable (ghost code)</t>
  </si>
  <si>
    <t>MAX(0, 100 – (Ghost_Path% × 25))</t>
  </si>
  <si>
    <t>Exception Path Handling</t>
  </si>
  <si>
    <t>Error Flow Verification</t>
  </si>
  <si>
    <t>Measures the code ability to gracefully handle and recover from unexpected errors or try-except blocks, ensuring the system does not crash when forced into a failure state.</t>
  </si>
  <si>
    <t>Error Path Risk =
missing_branches</t>
  </si>
  <si>
    <t>Error Flow Verification = covered_branches / (covered_branches + missed_branches)</t>
  </si>
  <si>
    <t>ErrorPathRatio = ErrorSpans / TotalSpans</t>
  </si>
  <si>
    <t>ErrorFlowVerification = failures / tests</t>
  </si>
  <si>
    <t>knip</t>
  </si>
  <si>
    <t>Error Handling Issue Density =
    count(messages where ruleId relates to error-handling)
    / totalFiles</t>
  </si>
  <si>
    <t>Exception Path Coverage % = (Exception / Error paths exercised / Total Exception Paths) × 100</t>
  </si>
  <si>
    <t>&gt;= 80% of exception paths exercised in test suite</t>
  </si>
  <si>
    <t>Score = Exception Path Coverage % [gate at 80%]</t>
  </si>
  <si>
    <t>Multi-Function Path Tracking</t>
  </si>
  <si>
    <t>Cross-Component Mapping</t>
  </si>
  <si>
    <t>Tracks how logic flows across multiple functions or modules to complete a single task, measuring integration quality between different parts of the application.</t>
  </si>
  <si>
    <t>Cross Function Coverage =
sum(covered_lines across functions)</t>
  </si>
  <si>
    <t>Cross-Component Mapping = covered_methods / (covered_methods + missed_methods)</t>
  </si>
  <si>
    <t>CrossComponentPathDepth = AvgSpanDepth</t>
  </si>
  <si>
    <t xml:space="preserve">ESLint (eslint-scope) + nyc </t>
  </si>
  <si>
    <t>OrphanModules = count(modules where is_orphan == true)
TotalModules = total modules
CrossComponentMapping = 1 - (OrphanModules / TotalModules)</t>
  </si>
  <si>
    <t>Dependency Interaction Density =
    count(modules with dependencies)
    / count(modules)</t>
  </si>
  <si>
    <t>Integration Path Coverage % = (Cross-function paths tested / Total Cross-function paths) × 100</t>
  </si>
  <si>
    <t>&gt;= 60% of cross-component paths verified</t>
  </si>
  <si>
    <t>Score = Integration Path Coverage % [gate at 60%]</t>
  </si>
  <si>
    <t>CI/CD Integration Test</t>
  </si>
  <si>
    <t>Automated Quality Enforcement</t>
  </si>
  <si>
    <t>Embeds path verification into the automated pipeline to prevent untested logic from reaching production, measuring compliance with quality standards in real-time.</t>
  </si>
  <si>
    <t>Automation Readiness =
percent_covered + percent_branches_covered</t>
  </si>
  <si>
    <t>Automated Quality Enforcement = (
    (covered_instructions / total_instructions) +
    (covered_branches / total_branches) +
    (covered_methods / total_methods)
) / 3</t>
  </si>
  <si>
    <t>CoverageGate = (coveredSeq / totalSeq) &gt;= Threshold ? 1 : 0</t>
  </si>
  <si>
    <t>AutomatedQualityEnforcement = failures &gt; 0 ? 1 : 0</t>
  </si>
  <si>
    <t>dependency-cruiser</t>
  </si>
  <si>
    <t>Quality Gate Score =
    1 - ((errorCount + fatalErrorCount) / totalIssues)</t>
  </si>
  <si>
    <t>Pipeline Path Gate % = (Builds passing path coverage gate / Total Builds) × 100</t>
  </si>
  <si>
    <t>100% of builds pass minimum 60% path coverage gate</t>
  </si>
  <si>
    <t>Score = Pipeline Path Gate % [gate at 100%]</t>
  </si>
  <si>
    <t>Path Detection Testing</t>
  </si>
  <si>
    <t>Path Coverage %</t>
  </si>
  <si>
    <t>% of all distinct execution paths through a function that are exercised by the test suite</t>
  </si>
  <si>
    <t>Path Coverage % (proxy) =
(percent_covered + percent_branches_covered) / 2</t>
  </si>
  <si>
    <t>Path Coverage % = (covered_branches / (covered_branches + missed_branches)) * 100</t>
  </si>
  <si>
    <t>PathCoveragePercent = (coveredBranches / totalBranches) * 100</t>
  </si>
  <si>
    <t>js_paths</t>
  </si>
  <si>
    <t>PathCoveragePercent = branches_covered / branches_total</t>
  </si>
  <si>
    <t>eslint + eslint-plugin-sonarjs</t>
  </si>
  <si>
    <t>Path Coverage Proxy =
    branches.pct</t>
  </si>
  <si>
    <t>Path Coverage % = (Paths Exercised / Total Feasible Paths) × 100</t>
  </si>
  <si>
    <t>&gt;= 60% path coverage (complex functions)</t>
  </si>
  <si>
    <t>Score = Path Coverage %  [gate at 60%]</t>
  </si>
  <si>
    <t>▶  MUTATION TESTING &amp; COVERAGE DELTA — Test Suite Effectiveness</t>
  </si>
  <si>
    <t>Mutation Testing</t>
  </si>
  <si>
    <t>Mutation Score</t>
  </si>
  <si>
    <t>Fault Detection Capability</t>
  </si>
  <si>
    <t>Logic Error Sensitivity</t>
  </si>
  <si>
    <t>Evaluates the ability of tests to fail when the underlying code logic is altered, measuring whether tests are sensitive enough to catch subtle mistakes that structural coverage might miss.</t>
  </si>
  <si>
    <t>cosmic-ray</t>
  </si>
  <si>
    <t>mutmut</t>
  </si>
  <si>
    <t>Logic Error Sensitivity =
(total jobs - surviving mutants) / total jobs</t>
  </si>
  <si>
    <t>universalmutator + cmake + ctest</t>
  </si>
  <si>
    <t>simple-mutation</t>
  </si>
  <si>
    <t>PIT</t>
  </si>
  <si>
    <t>Logic Error Sensitivity = killed_mutations / total_mutations</t>
  </si>
  <si>
    <t>Stryker.NET</t>
  </si>
  <si>
    <t>stryker net</t>
  </si>
  <si>
    <t>LogicErrorSensitivity = killedMutants / totalMutants</t>
  </si>
  <si>
    <t xml:space="preserve">StrykerJS + Mocha </t>
  </si>
  <si>
    <t>LogicErrorSensitivity = KilledMutants / TotalMutants</t>
  </si>
  <si>
    <t>stryker-mutator/core</t>
  </si>
  <si>
    <t>stryker</t>
  </si>
  <si>
    <t>Fault Detection Capability = count(mutants where status == "Killed") / count(mutants)</t>
  </si>
  <si>
    <t>Sensitivity Score = (Survived Mutants caught by assertion-only tests / Total Survived Mutants) × 100</t>
  </si>
  <si>
    <t>&gt;= 70% of survived mutants caught by targeted assertion tests</t>
  </si>
  <si>
    <t>Score = Sensitivity Score % [gate at 70%]</t>
  </si>
  <si>
    <t>Daily / Per Sprint</t>
  </si>
  <si>
    <t>Test Coverage Quality Validation</t>
  </si>
  <si>
    <t>Test Rigor Assessment</t>
  </si>
  <si>
    <t>Serves as a meta-metric that validates the quality of your existing coverage. While statement coverage tells you if a line was executed, this measures how well that line was actually tested.</t>
  </si>
  <si>
    <t>Test Rigor =
(total jobs - surviving mutants) / total jobs</t>
  </si>
  <si>
    <t>Test Rigor Assessment = covered_mutations / total_mutations</t>
  </si>
  <si>
    <t>TestRigorScore = killedMutants / (killedMutants + survivedMutants)</t>
  </si>
  <si>
    <t>TestRigorAssessment = KilledMutants / CoveredMutants</t>
  </si>
  <si>
    <t>Test Rigor Assessment = count(mutants where status == "Killed") / (count(mutants where status == "Killed") + count(mutants where status == "Survived"))</t>
  </si>
  <si>
    <t>Rigor Score = (Killed Mutants / Total Mutants Generated) × 100</t>
  </si>
  <si>
    <t>&gt;= 70% overall mutant kill rate</t>
  </si>
  <si>
    <t>Score = Rigor Score % [gate at 70%]</t>
  </si>
  <si>
    <t>Test Case Improvement Identification</t>
  </si>
  <si>
    <t>Weak Spot Localization</t>
  </si>
  <si>
    <t>Pinpoints exactly which surviving mutants were not caught, identifying specific areas where test cases need to be added or strengthened to write more meaningful assertions.</t>
  </si>
  <si>
    <t>Weak Spots = surviving mutants</t>
  </si>
  <si>
    <t>Weak Spot Localization = survived_mutations / total_mutations</t>
  </si>
  <si>
    <t>WeakSpotRatio = survivedMutants / totalMutants</t>
  </si>
  <si>
    <t>WeakSpotLocalization = SurvivedMutants / TotalMutants</t>
  </si>
  <si>
    <t>Weak Spot Localization = count(mutants where status == "Survived") / count(mutants)</t>
  </si>
  <si>
    <t>Weak Spot Count = Count(Modules where Mutation Kill Rate &lt; 50%)</t>
  </si>
  <si>
    <t>0 modules with mutation kill rate below 50%</t>
  </si>
  <si>
    <t>MAX(0, 100 – (Weak_Spot_Count × 15))</t>
  </si>
  <si>
    <t>Boundary Mutant Analysis</t>
  </si>
  <si>
    <t>Measures the test suite ability to catch errors at boundaries by specifically mutating operators, identifying if tests are robust enough to handle the precise limits of the code logic.</t>
  </si>
  <si>
    <t>Boundary Weakness =
count(TestOutcome.SURVIVED)</t>
  </si>
  <si>
    <t>Boundary Mutant Analysis = count(
    mutation where mutator contains "Conditionals"
) / total_mutations</t>
  </si>
  <si>
    <t>BoundaryWeakness = survivedMutants / (killedMutants + survivedMutants)</t>
  </si>
  <si>
    <t>BoundaryMutantAnalysis = SurvivedMutants / CoveredMutants</t>
  </si>
  <si>
    <t>Boundary Mutant Analysis = count(mutants where mutatorName contains "boundary") / count(mutants)</t>
  </si>
  <si>
    <t>Boundary Kill Rate % = (Boundary Operator Mutants Killed / Total Boundary Mutants) × 100</t>
  </si>
  <si>
    <t>&gt;= 80% of boundary operator mutants killed</t>
  </si>
  <si>
    <t>Score = Boundary Kill Rate % [gate at 80%]</t>
  </si>
  <si>
    <t>Change Resilience Testing = killed_mutations / covered_mutations</t>
  </si>
  <si>
    <t>RegressionResilience = killedMutants / totalMutants</t>
  </si>
  <si>
    <t>ChangeResilienceTesting = KilledMutants / (KilledMutants + SurvivedMutants)</t>
  </si>
  <si>
    <t>Change Resilience Score = count(mutants where status == "Killed") / count(mutants where testsCompleted &gt; 0)</t>
  </si>
  <si>
    <t>Resilience Score = (Post-Change Mutation Kill Rate / Pre-Change Mutation Kill Rate) × 100</t>
  </si>
  <si>
    <t>Resilience Score &gt;= 95% (&lt; 5% kill rate degradation after change)</t>
  </si>
  <si>
    <t>Score = MIN(100, Resilience_Score)</t>
  </si>
  <si>
    <t>Semantic Integrity Check = killed_mutations / total_mutations</t>
  </si>
  <si>
    <t>SemanticIntegrity = killedMutants / totalMutants</t>
  </si>
  <si>
    <t>SemanticIntegrityCheck = 1 - (SurvivedMutants / TotalMutants)</t>
  </si>
  <si>
    <t>Semantic Integrity Check = count(mutants where status == "Killed") / count(mutants)</t>
  </si>
  <si>
    <t>Semantic Pass Rate % = (Mutants testing semantic behavior killed / Total Semantic Mutants) × 100</t>
  </si>
  <si>
    <t>&gt;= 75% semantic mutant kill rate</t>
  </si>
  <si>
    <t>Score = Semantic Pass Rate % [gate at 75%]</t>
  </si>
  <si>
    <t>Mutation Kill Rate % = (killed_mutations / total_mutations) * 100</t>
  </si>
  <si>
    <t>MutationKillRatePercent = (killedMutants / totalMutants) * 100
NoCoverageRatio = noCoverageMutants / totalMutants</t>
  </si>
  <si>
    <t>js_mutation</t>
  </si>
  <si>
    <t>MutationKillRate = KilledMutants / TotalMutants</t>
  </si>
  <si>
    <t>Mutation Kill Rate % = count(mutants where status == "Killed") / count(mutants)</t>
  </si>
  <si>
    <t>Mutation Kill Rate % = (Killed Mutants / Total Non-Equivalent Mutants) × 100</t>
  </si>
  <si>
    <t>&gt;= 70% mutation kill rate</t>
  </si>
  <si>
    <t>Score = Mutation Kill Rate %  [gate at 70%]</t>
  </si>
  <si>
    <t>Test Regression/Coverage Analysis</t>
  </si>
  <si>
    <t>Coverage Delta</t>
  </si>
  <si>
    <t>Regression Testing Monitoring</t>
  </si>
  <si>
    <t>Coverage Delta %</t>
  </si>
  <si>
    <t>Change in test coverage percentage between current build and previous baseline — monitors coverage trends</t>
  </si>
  <si>
    <t>coveragepy</t>
  </si>
  <si>
    <t>Coverage Delta % =
current.percent_covered - previous.percent_covered</t>
  </si>
  <si>
    <t>git + lcov</t>
  </si>
  <si>
    <t>coverage-diff-analyzer</t>
  </si>
  <si>
    <t>coverage delta</t>
  </si>
  <si>
    <t>JaCoCo XML + optional baseline XML; OR diff-coverage-maven-plugin / gw-kit delta-coverage (Gradle)</t>
  </si>
  <si>
    <t>Coverage Delta % =
(
  (current_covered_lines / (current_covered_lines + current_missed_lines))
  -
  (baseline_covered_lines / (baseline_covered_lines + baseline_missed_lines))
) * 100</t>
  </si>
  <si>
    <t>coverlet delta</t>
  </si>
  <si>
    <t>BranchCoverageDeltaPercent =
  ((coveredBranches_current / totalBranches_current)
 - (coveredBranches_prev / totalBranches_prev)) * 100</t>
  </si>
  <si>
    <t>diff-cover</t>
  </si>
  <si>
    <t>CoverageDeltaPercent = total_coverage_percent / 100</t>
  </si>
  <si>
    <t>coverage diff</t>
  </si>
  <si>
    <t>Coverage Delta % = new_statements.pct - old_statements.pct</t>
  </si>
  <si>
    <t>Coverage Delta = Coverage_Current% – Coverage_Previous%</t>
  </si>
  <si>
    <t>Delta &gt;= 0% (no coverage regression); flag if delta &lt; -2%</t>
  </si>
  <si>
    <t>MAX(0, 100 + (Delta × 10))  [capped 0–100]</t>
  </si>
  <si>
    <t>Test Suite Effectiveness Tracking</t>
  </si>
  <si>
    <t>Discovery Power Assessment</t>
  </si>
  <si>
    <t>Evaluates how many unique logical journeys through the code are validated by current test cases, measuring the ratio of executed paths to total possible paths.</t>
  </si>
  <si>
    <t>Discovery Power =
(previous.missing_lines - current.missing_lines)</t>
  </si>
  <si>
    <t>JaCoCo + Git + diff-coverage plugin (recommended); JaCoCo alone for whole-project LINE%</t>
  </si>
  <si>
    <t>Discovery Power Assessment =
(
  (covered_lines / (covered_lines + missed_lines))
  +
  (covered_branches / (covered_branches + missed_branches))
) / 2</t>
  </si>
  <si>
    <t>DiscoveryPower = coveredBranches / totalBranches</t>
  </si>
  <si>
    <t>DiscoveryPower =
  covered_lines / (covered_lines + uncovered_lines)</t>
  </si>
  <si>
    <t>Discovery Power Assessment = (statements.covered + branches.covered) / (statements.total + branches.total)</t>
  </si>
  <si>
    <t>Discovery Power % = (New Code Lines Covered by Tests / Total New Code Lines Added) × 100</t>
  </si>
  <si>
    <t>&gt;= 80% of new code lines covered by test suite</t>
  </si>
  <si>
    <t>Score = Discovery Power % [gate at 80%]</t>
  </si>
  <si>
    <t>CI/CD Quality Gate Enforcement</t>
  </si>
  <si>
    <t>Deployment Readiness Guard</t>
  </si>
  <si>
    <t>Acts as an automated threshold that prevents code from being merged if the coverage delta is negative, ensuring that only logically verified code moves toward production.</t>
  </si>
  <si>
    <t>Quality Gate =
IF current.percent_covered &gt;= threshold
AND current.percent_branches_covered &gt;= threshold
THEN PASS ELSE FAIL</t>
  </si>
  <si>
    <t>JaCoCo (jacoco:check thresholds) + CI comparing XML or Sonar new-code metrics</t>
  </si>
  <si>
    <t>Deployment Readiness Guard =
(
  (covered_lines / total_lines &gt;= line_threshold)
  AND
  (covered_branches / total_branches &gt;= branch_threshold)
)</t>
  </si>
  <si>
    <t>CoverageGate =
  (coveredLines / totalLines) &gt;= Threshold ? 1 : 0</t>
  </si>
  <si>
    <t>DeploymentReadinessGuard = total_coverage_percent &gt; 0 ? 1 : 0</t>
  </si>
  <si>
    <t>Deployment Readiness Guard = (statements.pct + branches.pct + functions.pct + lines.pct) / 4</t>
  </si>
  <si>
    <t>Gate Compliance % = (Builds with Coverage Delta &gt;= 0 / Total Builds) × 100</t>
  </si>
  <si>
    <t>100% of builds show non-negative coverage delta</t>
  </si>
  <si>
    <t>Score = Gate Compliance % [gate at 100%]</t>
  </si>
  <si>
    <t>Change Impact Analysis</t>
  </si>
  <si>
    <t>Ripple Effect Mapping</t>
  </si>
  <si>
    <t>Identifies which specific logical paths are altered by a code change and which downstream paths might be affected, measuring the logical surface area of a modification to predict unintended side effects.</t>
  </si>
  <si>
    <t>Impact Ratio =
|Coverage Delta %| / previous.percent_covered</t>
  </si>
  <si>
    <t>JaCoCo package counters in jacoco.xml</t>
  </si>
  <si>
    <t>Ripple Effect Mapping =
covered_changed_lines / total_changed_lines</t>
  </si>
  <si>
    <t>RippleEffect =
abs((coveredBranches_current / totalBranches_current)
  - (coveredBranches_prev / totalBranches_prev))</t>
  </si>
  <si>
    <t>RippleEffectMapping =
  uncovered_lines / added_lines</t>
  </si>
  <si>
    <t>Ripple Effect Mapping = (changed_statements.covered - unchanged_statements.covered) / statements.total</t>
  </si>
  <si>
    <t>Ripple Coverage % = (Downstream Modules re-tested after coverage delta trigger / Total Affected Modules) × 100</t>
  </si>
  <si>
    <t>100% of affected downstream modules re-verified</t>
  </si>
  <si>
    <t>Score = Ripple Coverage % [gate at 100%]</t>
  </si>
  <si>
    <t>New Code Testing Validation</t>
  </si>
  <si>
    <t>Fresh Logic Proofing</t>
  </si>
  <si>
    <t>Specifically measures whether newly added lines or paths have corresponding test cases, ensuring that the MVP growth is supported by an equal growth in testing depth.</t>
  </si>
  <si>
    <t>New Code Coverage =
current.covered_lines - previous.covered_lines</t>
  </si>
  <si>
    <t>Git + JaCoCo line table + diff-coverage / Sonar</t>
  </si>
  <si>
    <t>Fresh Logic Proofing =
covered_new_lines / total_new_lines</t>
  </si>
  <si>
    <t>FreshLogicCoverage =
(totalLines_current - totalLines_prev) &gt; 0 ?
((coveredLines_current - coveredLines_prev)
 / (totalLines_current - totalLines_prev))
: 0</t>
  </si>
  <si>
    <t>FreshLogicProofing =
  covered_lines / added_lines</t>
  </si>
  <si>
    <t>Fresh Logic Proofing = new_statements.covered / new_statements.total</t>
  </si>
  <si>
    <t>Fresh Coverage % = (New/Modified Functions with test coverage / Total New/Modified Functions) × 100</t>
  </si>
  <si>
    <t>100% of new or modified functions have test coverage</t>
  </si>
  <si>
    <t>Score = Fresh Coverage % [gate at 100%]</t>
  </si>
  <si>
    <t>Quality Improvement Measurement</t>
  </si>
  <si>
    <t>Structural Health Benchmarking</t>
  </si>
  <si>
    <t>Provides a quantitative score of how much simpler or safer the code becomes after refactoring, measuring the successful reduction of complex untestable paths into cleaner sequences.</t>
  </si>
  <si>
    <t>Quality Improvement =
(Coverage Delta % + Branch Delta %) / 2</t>
  </si>
  <si>
    <t>JaCoCo jacoco.xml (root + package counters)</t>
  </si>
  <si>
    <t>Structural Health Benchmarking =
(
  current_line_coverage
  - baseline_line_coverage
  +
  current_branch_coverage
  - baseline_branch_coverage
  +
  current_method_coverage
  - baseline_method_coverage
) / 3</t>
  </si>
  <si>
    <t>StructuralHealthScore =
  (LineCoverage + BranchCoverage + MethodCoverage) / 3</t>
  </si>
  <si>
    <t>StructuralHealthBenchmarking =
  1 - (total_violations / total_files_measured)</t>
  </si>
  <si>
    <t>Structural Health Benchmarking = (statements.pct + branches.pct) / 2</t>
  </si>
  <si>
    <t>Health Benchmark Score = AVG(Coverage Delta) over rolling 5-sprint window</t>
  </si>
  <si>
    <t>AVG rolling delta &gt;= +1% (continuous improvement trend)</t>
  </si>
  <si>
    <t>MAX(0, 100 + (AVG_Rolling_Delta × 10)) capped 0–100</t>
  </si>
  <si>
    <t>▶  DATA FLOW TESTING — All-Definition &amp; All-Uses Coverage</t>
  </si>
  <si>
    <t>Data Flow Testing</t>
  </si>
  <si>
    <t>All Definition Coverage</t>
  </si>
  <si>
    <t>Variable Definition Detection</t>
  </si>
  <si>
    <t>All-Defs Coverage %</t>
  </si>
  <si>
    <t>% of variable definition points (where variables are assigned) that are exercised by at least one test path</t>
  </si>
  <si>
    <t>Beniget</t>
  </si>
  <si>
    <t>pyflakes</t>
  </si>
  <si>
    <t>all_defs_coverage = (used_definitions / max(definitions, 1)) * 100</t>
  </si>
  <si>
    <t>all definition</t>
  </si>
  <si>
    <t>c-definition-analyzer</t>
  </si>
  <si>
    <t>Static DU (ASM-DefUse / Spoon / ba-dua) + JaCoCo execution witness — NOT JaCoCo alonePIT</t>
  </si>
  <si>
    <t>All-Defs Coverage % =
(count(definitions with at least one covered use) / total_definitions) * 100</t>
  </si>
  <si>
    <t>csharp def use</t>
  </si>
  <si>
    <t>AllDefsCoverage = killedMutants / totalMutants</t>
  </si>
  <si>
    <t>AllDefsCoverage =
  1 - (UnusedVarViolations / TotalViolations)</t>
  </si>
  <si>
    <t>ts-morph</t>
  </si>
  <si>
    <t>def cov</t>
  </si>
  <si>
    <t>All-Defs Coverage % = count(definitions with referenceCount &gt; 0) / total_definitions</t>
  </si>
  <si>
    <t>All-Defs Coverage % = (Definition Points Covered / Total Definition Points) × 100</t>
  </si>
  <si>
    <t>&gt;= 75% all-definition coverage</t>
  </si>
  <si>
    <t>Score = All-Defs Coverage %</t>
  </si>
  <si>
    <t>Definition-Use Mapping</t>
  </si>
  <si>
    <t>Data Path Correlation</t>
  </si>
  <si>
    <t>Creates a bridge between where a variable is defined and at least one line of code where that specific value is later read or modified, measuring the integrity of the data journey.</t>
  </si>
  <si>
    <t>coverage.py</t>
  </si>
  <si>
    <t>data_path_correlation = used_definitions / max(definitions, 1)</t>
  </si>
  <si>
    <t>Static DU graph + JaCoCo line/branch (mb,cb) + optional ba-dua</t>
  </si>
  <si>
    <t>Data Path Correlation =
count(covered_du_pairs) / total_du_pairs</t>
  </si>
  <si>
    <t>DataPathCorrelation = killedMutants / (killedMutants + survivedMutants)</t>
  </si>
  <si>
    <t>DataPathCorrelation =
  1 - (UndefinedVarViolations / TotalViolations)</t>
  </si>
  <si>
    <t>Data Path Correlation = count(definitions with same name appearing across multiple locations) / total_definitions</t>
  </si>
  <si>
    <t>DU Correlation % = (Definitions linked to at least one Use / Total Definitions) × 100</t>
  </si>
  <si>
    <t>&gt;= 75% of definitions linked to a verified use path</t>
  </si>
  <si>
    <t>Score = DU Correlation % [gate at 75%]</t>
  </si>
  <si>
    <t>Coverage Measurement</t>
  </si>
  <si>
    <t>DU-Path Validation</t>
  </si>
  <si>
    <t>Calculates the percentage of Definition-Use pairs that have been successfully exercised by your test suite, providing a deeper quality check than just seeing if a line was executed.</t>
  </si>
  <si>
    <t>du_path_validation = covered_lines / max(num_statements, 1)</t>
  </si>
  <si>
    <t>Static DU-path enumeration + JaCoCo</t>
  </si>
  <si>
    <t>DU-Path Validation =
count(covered_du_paths) / total_du_paths</t>
  </si>
  <si>
    <t>DUPathValidation = killedMutants / totalMutants</t>
  </si>
  <si>
    <t>DUPathValidation =
  (StatementCoverage + BranchCoverage) / 2</t>
  </si>
  <si>
    <t>DU-Path Validation = count(definitions with referenceCount &gt; 0) / total_definitions</t>
  </si>
  <si>
    <t>DU-Path Coverage % = (DU Pairs Exercised / Total DU Pairs) × 100</t>
  </si>
  <si>
    <t>&gt;= 65% of all DU pairs exercised by test suite</t>
  </si>
  <si>
    <t>Score = DU-Path Coverage % [gate at 65%]</t>
  </si>
  <si>
    <t>Uncovered Definition Detection</t>
  </si>
  <si>
    <t>Dead Data Identification</t>
  </si>
  <si>
    <t>Identifies variables that are assigned a value but are never actually used by the program, helping reduce technical debt by spotting zombie variables that clutter memory without purpose.</t>
  </si>
  <si>
    <t>dead_data_count = unused_variable + unused_import</t>
  </si>
  <si>
    <t>Static DU + JaCoCo ghost lines (mi&gt;0, ci=0)</t>
  </si>
  <si>
    <t>Dead Data Identification =
count(definitions with no covered use) / total_definitions</t>
  </si>
  <si>
    <t>DeadDataRatio = noCoverageMutants / totalMutants</t>
  </si>
  <si>
    <t>DeadDataIdentification =
  UnusedVarViolations / TotalViolations</t>
  </si>
  <si>
    <t>Dead Data Identification = count(definitions with referenceCount == 0) / total_definitions</t>
  </si>
  <si>
    <t>Dead Variable % = (Definitions with no reachable Use / Total Definitions) × 100</t>
  </si>
  <si>
    <t>&lt; 5% dead variable definitions in codebase</t>
  </si>
  <si>
    <t>MAX(0, 100 – (Dead_Variable% × 10))</t>
  </si>
  <si>
    <t>Edge Case Handling</t>
  </si>
  <si>
    <t>Null and Boundary Flow Analysis</t>
  </si>
  <si>
    <t>Measures how the data flow reacts when a definition results in an unexpected state such as None or an overflow, identifying risks where valid variable definitions might lead to a crash at use.</t>
  </si>
  <si>
    <t>CrossHair</t>
  </si>
  <si>
    <t>boundary_issue_ratio = (
    functions_with_counterexample / max(total_functions_checked, 1)
)</t>
  </si>
  <si>
    <t>JaCoCo branch probes + SpotBugs null patterns (NP_*) + optional Checker/NullAway</t>
  </si>
  <si>
    <t>Null and Boundary Flow Analysis =
count(du_pairs where (cb + mb &gt; 0) AND mb &gt; 0) / total_du_pairs</t>
  </si>
  <si>
    <t>BoundaryDataWeakness = survivedMutants / (killedMutants + survivedMutants)</t>
  </si>
  <si>
    <t>NullBoundaryFlowAnalysis =
  1 - BranchCoverage</t>
  </si>
  <si>
    <t>Null/Boundary Analysis Proxy = count(definitions where type includes "null" OR "undefined") / total_definitions</t>
  </si>
  <si>
    <t>Null Flow Risk Score = Count(Definitions reaching a Use with no null/boundary guard) × 10</t>
  </si>
  <si>
    <t>0 unguarded null or boundary flows from definition to use</t>
  </si>
  <si>
    <t>MAX(0, 100 – Null_Flow_Risk_Score)</t>
  </si>
  <si>
    <t>Reporting Validation</t>
  </si>
  <si>
    <t>Audit Trail Verification</t>
  </si>
  <si>
    <t>Provides a verifiable report of the variable state at every stage of execution for debugging and compliance, ensuring that any data-related failure can be traced back to its specific definition point.</t>
  </si>
  <si>
    <t>pydriller</t>
  </si>
  <si>
    <t>audit_activity = insertions + deletions</t>
  </si>
  <si>
    <t>JaCoCo report metadata + CI git SHA + tool versions</t>
  </si>
  <si>
    <t>Audit Trail Verification =
(count(definitions) == count(unique(definition_ids_in_report)))
AND
(report_timestamp exists)</t>
  </si>
  <si>
    <t>DataFlowAuditScore = totalMutants</t>
  </si>
  <si>
    <t>AuditTrailVerification = messages.length &gt; 0 ? 1 : 0</t>
  </si>
  <si>
    <t>Audit Trail Completeness = count(definitions with valid line and type metadata) / total_definitions</t>
  </si>
  <si>
    <t>Audit Completeness % = (Variable state transitions logged and traceable / Total DU pairs) × 100</t>
  </si>
  <si>
    <t>&gt;= 90% of DU pairs have traceable execution audit record</t>
  </si>
  <si>
    <t>Score = Audit Completeness % [gate at 90%]</t>
  </si>
  <si>
    <t>All Uses Coverage</t>
  </si>
  <si>
    <t>Computational Use Detection (C-Use)</t>
  </si>
  <si>
    <t>Data Processing Validation</t>
  </si>
  <si>
    <t>Identifies instances where a variable is used in a calculation or output statement, measuring the accuracy of data transformations and ensuring variable values correctly influence final results.</t>
  </si>
  <si>
    <t>coverage.py + beniget</t>
  </si>
  <si>
    <t>all_uses</t>
  </si>
  <si>
    <t>c_use = len([d for d in definitions if d.user_count &gt; 0])</t>
  </si>
  <si>
    <t xml:space="preserve">all uses </t>
  </si>
  <si>
    <t>c-use-analyzer</t>
  </si>
  <si>
    <t>all uses</t>
  </si>
  <si>
    <t>JaCoCo jacoco.xml (execution) + static DU / ba-dua for true use sets</t>
  </si>
  <si>
    <t>Data Processing Validation =
count(covered_c_uses) / total_c_uses</t>
  </si>
  <si>
    <t>csharp use coverage</t>
  </si>
  <si>
    <t>CUseValidation = killedMutants / totalMutants</t>
  </si>
  <si>
    <t>DataProcessingValidation = StatementCoverage</t>
  </si>
  <si>
    <t>C-Use Coverage = count(definitions where kind == "variable" AND used in computation) / total_definitions</t>
  </si>
  <si>
    <t>C-Use Coverage % = (Computational DU Pairs Exercised / Total C-Use Pairs) × 100</t>
  </si>
  <si>
    <t>&gt;= 65% of computational use pairs exercised</t>
  </si>
  <si>
    <t>Score = C-Use Coverage % [gate at 65%]</t>
  </si>
  <si>
    <t>Predicate Use Detection (P-Use)</t>
  </si>
  <si>
    <t>Logic Influence Assessment</t>
  </si>
  <si>
    <t>Identifies where a variable is used to determine the outcome of a decision, measuring how data values control the program execution flow and ensuring both True and False outcomes are tested.</t>
  </si>
  <si>
    <t>p_use = covered_branches</t>
  </si>
  <si>
    <t>JaCoCo BRANCH + line mb/cb</t>
  </si>
  <si>
    <t>Logic Influence Assessment =
count(covered_p_uses) / total_p_uses</t>
  </si>
  <si>
    <t>PUseValidation = killedMutants / (killedMutants + survivedMutants)</t>
  </si>
  <si>
    <t>LogicInfluenceAssessment = BranchCoverage</t>
  </si>
  <si>
    <t>P-Use Coverage = count(definitions where kind == "parameter" OR used in condition) / total_definitions</t>
  </si>
  <si>
    <t>P-Use Coverage % = (Predicate DU Pairs Exercised / Total P-Use Pairs) × 100</t>
  </si>
  <si>
    <t>&gt;= 65% of predicate use pairs exercised (True + False outcomes)</t>
  </si>
  <si>
    <t>Score = P-Use Coverage % [gate at 65%]</t>
  </si>
  <si>
    <t>Definition-Use Pair Identification</t>
  </si>
  <si>
    <t>Path Correlation Mapping</t>
  </si>
  <si>
    <t>Links every definition of a variable to all possible locations where that specific value could be read, creating a map of data influence across the function to ensure no use-case is left untested.</t>
  </si>
  <si>
    <t>def_use_pairs = sum(d.user_count for d in definitions)</t>
  </si>
  <si>
    <t>JaCoCo line + branch probes (CFG path proxy)</t>
  </si>
  <si>
    <t>Path Correlation Mapping =
count(covered_du_pairs) / total_du_pairs</t>
  </si>
  <si>
    <t>DUCorrelation = killedMutants / totalMutants</t>
  </si>
  <si>
    <t>PathCorrelationMapping =
  (StatementCoverage + BranchCoverage + FunctionCoverage) / 3</t>
  </si>
  <si>
    <t>Definition-Use Pair Coverage = count(unique (definition → usage) pairs) / total_definitions</t>
  </si>
  <si>
    <t>DU Pair Map Coverage % = (Identified and Mapped DU Pairs / Total Estimated DU Pairs) × 100</t>
  </si>
  <si>
    <t>&gt;= 90% of DU pairs identified and mapped in analysis</t>
  </si>
  <si>
    <t>Score = DU Pair Map Coverage % [gate at 90%]</t>
  </si>
  <si>
    <t>All-Uses Coverage Verification</t>
  </si>
  <si>
    <t>Comprehensive Data Proofing</t>
  </si>
  <si>
    <t>Confirms that every single identified Definition-Use pair (both c-use and p-use) has been executed at least once, measuring the total thoroughness of the test suite regarding data integrity.</t>
  </si>
  <si>
    <t>all_uses_coverage = covered_lines / num_statements</t>
  </si>
  <si>
    <t>JaCoCo LINE + BRANCH + INSTRUCTION rollups</t>
  </si>
  <si>
    <t>Comprehensive Data Proofing =
count(covered_du_pairs) / total_du_pairs</t>
  </si>
  <si>
    <t>AllUsesCoverage = killedMutants / totalMutants</t>
  </si>
  <si>
    <t>AllUsesCoverage =
  (StatementCoverage + BranchCoverage) / 2</t>
  </si>
  <si>
    <t>All-Uses Coverage % = count(definitions with referenceCount &gt; 0) / total_definitions</t>
  </si>
  <si>
    <t>Full DU Verification % = (DU Pairs with both C-Use and P-Use tested / Total DU Pairs) × 100</t>
  </si>
  <si>
    <t>&gt;= 65% of DU pairs fully verified for both use types</t>
  </si>
  <si>
    <t>Score = Full DU Verification % [gate at 65%]</t>
  </si>
  <si>
    <t>Partial Uses Coverage Detection</t>
  </si>
  <si>
    <t>Data Flow Gap Analysis</t>
  </si>
  <si>
    <t>Highlights specific variable uses that have never been reached during testing, helping developers find blind spots where a variable is defined but its impact on a calculation or branch is unverified.</t>
  </si>
  <si>
    <t>partial_uses = len([d for d in definitions if d.user_count == 0]) + len(missing_lines)</t>
  </si>
  <si>
    <t>JaCoCo ghost lines + high-mi partial lines</t>
  </si>
  <si>
    <t>Data Flow Gap Analysis =
count(partially_covered_du_pairs) / total_du_pairs</t>
  </si>
  <si>
    <t>DataFlowGap = 1 - (killedMutants / totalMutants)</t>
  </si>
  <si>
    <t>DataFlowGapAnalysis =
  1 - AllUsesCoverage</t>
  </si>
  <si>
    <t>Data Flow Gap Analysis = count(definitions with referenceCount == 0) / total_definitions</t>
  </si>
  <si>
    <t>Gap Score = (DU Pairs with no test exercise / Total DU Pairs) × 100</t>
  </si>
  <si>
    <t>&lt; 35% of DU pairs untested (65% coverage floor)</t>
  </si>
  <si>
    <t>Multiple Definitions Handling</t>
  </si>
  <si>
    <t>Ambiguity Resolution</t>
  </si>
  <si>
    <t>Tracks variables that are redefined multiple times such as inside a loop or multiple if blocks, measuring the complexity of the data lifecycle to ensure the current value is always the intended one.</t>
  </si>
  <si>
    <t>multiple_definitions = len([d for d in definitions if d.user_count &gt; 1])</t>
  </si>
  <si>
    <t>JaCoCo branch probes mb/cb</t>
  </si>
  <si>
    <t>Ambiguity Resolution =
count(uses linked to multiple definitions AND covered) / total_uses_with_multiple_defs</t>
  </si>
  <si>
    <t>AmbiguityRisk = survivedMutants / totalMutants</t>
  </si>
  <si>
    <t>AmbiguityResolution =
  1 - (UnusedVarViolations / TotalViolations)</t>
  </si>
  <si>
    <t>Ambiguity Resolution Score = count(definitions with unique name and type) / total_definitions</t>
  </si>
  <si>
    <t>Redefinition Coverage % = (Redefined Variables with all active definitions tested / Total Redefined Variables) × 100</t>
  </si>
  <si>
    <t>&gt;= 80% of redefined variables tested across all definition states</t>
  </si>
  <si>
    <t>Score = Redefinition Coverage % [gate at 80%]</t>
  </si>
  <si>
    <t>Cross-Function Use Detection</t>
  </si>
  <si>
    <t>Inter-procedural Tracking</t>
  </si>
  <si>
    <t>Monitors how variables such as arguments or global objects move between different functions, measuring the safety of the interfaces between code modules to prevent data corruption during hand-offs.</t>
  </si>
  <si>
    <t>cross_function_uses = len([
    d for d in definitions
    if len(d.users) &gt; 1
])</t>
  </si>
  <si>
    <t>JaCoCo method/class LINE counters + call-stack tests (manual/IT)</t>
  </si>
  <si>
    <t>Inter-procedural Tracking =
count(covered_interprocedural_du_pairs) / total_interprocedural_du_pairs</t>
  </si>
  <si>
    <t>InterProceduralCoverage = killedMutants / totalMutants</t>
  </si>
  <si>
    <t>InterProceduralTracking = FunctionCoverage</t>
  </si>
  <si>
    <t>Inter-Procedural Tracking = count(definitions used across multiple functions/files) / total_definitions</t>
  </si>
  <si>
    <t>Inter-procedural Coverage % = (Cross-function DU Pairs Exercised / Total Cross-function DU Pairs) × 100</t>
  </si>
  <si>
    <t>&gt;= 60% of cross-function DU pairs exercised</t>
  </si>
  <si>
    <t>Score = Inter-procedural Coverage % [gate at 60%]</t>
  </si>
  <si>
    <t>Unreachable Use Detection</t>
  </si>
  <si>
    <t>Ghost Use Identification</t>
  </si>
  <si>
    <t>Identifies code blocks that attempt to use a variable but can never be executed due to logical constraints, helping clean up technical debt by removing logic that relies on impossible data states.</t>
  </si>
  <si>
    <t>unreachable_uses = len(missing_lines)</t>
  </si>
  <si>
    <t>JaCoCo ghost lines (mi&gt;0, ci=0) + static use map</t>
  </si>
  <si>
    <t>Ghost Use Identification =
count(uses where ci == 0) / total_uses</t>
  </si>
  <si>
    <t>GhostUseRatio = noCoverageMutants / totalMutants</t>
  </si>
  <si>
    <t>GhostUseIdentification =
  1 - StatementCoverage</t>
  </si>
  <si>
    <t>Ghost Use Identification = count(definitions declared but never referenced) / total_definitions</t>
  </si>
  <si>
    <t>Ghost Use % = (Uses that can never be reached / Total Declared Uses) × 100</t>
  </si>
  <si>
    <t>&lt; 2% ghost uses in codebase</t>
  </si>
  <si>
    <t>MAX(0, 100 – (Ghost_Use% × 25))</t>
  </si>
  <si>
    <t>Coverage Reporting Validation</t>
  </si>
  <si>
    <t>Data Integrity Audit</t>
  </si>
  <si>
    <t>Provides a detailed report showing which data paths are safe and which are risky, ensuring your MVP meets high-quality standards by providing an audit trail for every variable in the system.</t>
  </si>
  <si>
    <t>coverage_valid = (covered_lines + len(missing_lines)) == num_statements</t>
  </si>
  <si>
    <t>JaCoCo sessioninfo + report metadata + CI SHA (external)</t>
  </si>
  <si>
    <t>Data Integrity Audit =
(all uses and definitions mapped in report)
AND
(no missing DU links)</t>
  </si>
  <si>
    <t>DataIntegrityScore = killedMutants / totalMutants</t>
  </si>
  <si>
    <t>DataIntegrityAudit =
  TotalViolations &gt; 0 ? 1 : 0</t>
  </si>
  <si>
    <t>Data Integrity Audit = count(definitions with consistent type across usages) / total_definitions</t>
  </si>
  <si>
    <t>Report Completeness % = (DU pairs with full audit record / Total DU Pairs) × 100</t>
  </si>
  <si>
    <t>&gt;= 90% of DU pairs have complete data integrity audit record</t>
  </si>
  <si>
    <t>Score = Report Completeness % [gate at 90%]</t>
  </si>
  <si>
    <t>Variable Use Detection</t>
  </si>
  <si>
    <t>All-Uses Coverage %</t>
  </si>
  <si>
    <t>% of definition-use pairs (variable defined, then used in computation or predicate) exercised by tests</t>
  </si>
  <si>
    <t>all_uses_coverage_percent = (
    len([d for d in definitions if d.user_count &gt; 0]) / len(definitions)
) * 100</t>
  </si>
  <si>
    <t>Static DU / ba-dua (|U|) + JaCoCo execution witness</t>
  </si>
  <si>
    <t>All-Uses Coverage % =
(count(covered_du_pairs) / total_du_pairs) * 100</t>
  </si>
  <si>
    <t>AllUsesCoveragePercent = (killedMutants / totalMutants) * 100</t>
  </si>
  <si>
    <t>AllUsesCoveragePercent = StatementCoverage</t>
  </si>
  <si>
    <t>All-Uses Coverage % = count(definitions where used == true) / total_definitions</t>
  </si>
  <si>
    <t>All-Uses Coverage % = (Covered DU Pairs / Total DU Pairs) × 100</t>
  </si>
  <si>
    <t>&gt;= 65% all-uses coverage</t>
  </si>
  <si>
    <t>Score = All-Uses Coverage %</t>
  </si>
  <si>
    <t>▶  DEVELOPMENT PROCESS ANALYSIS — Code Churn &amp; Risk-Based Prioritization</t>
  </si>
  <si>
    <t>Development Process Analysis</t>
  </si>
  <si>
    <t>Code Churn</t>
  </si>
  <si>
    <t>Code Churn Score</t>
  </si>
  <si>
    <t>Rate of code change (lines added + deleted) over a rolling window; high churn signals instability and elevated regression risk</t>
  </si>
  <si>
    <t>git_churn</t>
  </si>
  <si>
    <t>Code Churn Score = lines</t>
  </si>
  <si>
    <t>git-churn</t>
  </si>
  <si>
    <t>Git (log, numstat) + documented composite proxy</t>
  </si>
  <si>
    <t>Code Churn Score =
(lines_added + lines_deleted) / (total_files_changed * time_window_days)</t>
  </si>
  <si>
    <t>git log churn</t>
  </si>
  <si>
    <t>CodeChurnScore = churn / commit_count</t>
  </si>
  <si>
    <t>Churn = (Lines Added + Lines Deleted) / Total LOC over rolling 30-day window</t>
  </si>
  <si>
    <t>&lt; 30% churn per sprint; flag modules with &gt; 50%</t>
  </si>
  <si>
    <t>MAX(0, 100 – (Churn% × 2))  [50% churn = 0 pts]</t>
  </si>
  <si>
    <t>Regression Testing Focus</t>
  </si>
  <si>
    <t>Impact-Driven Verification</t>
  </si>
  <si>
    <t>Isolates specific modules that have undergone recent modifications, allowing QA to focus regression suites only on affected areas to prevent existing features from breaking during updates.</t>
  </si>
  <si>
    <t>impact_score = (insertions + deletions) / max(files, 1)</t>
  </si>
  <si>
    <t>Git + JaCoCo jacoco.xml (optional) + diff-coverage (recommended)</t>
  </si>
  <si>
    <t>Impact-Driven Verification =
covered_changed_lines / total_changed_lines</t>
  </si>
  <si>
    <t>ImpactDrivenVerification = churn</t>
  </si>
  <si>
    <t>Regression Coverage % = (High-Churn Modules in Regression Suite / Total High-Churn Modules) × 100</t>
  </si>
  <si>
    <t>100% of modules with churn &gt; 30% included in regression suite</t>
  </si>
  <si>
    <t>Score = Regression Coverage % [gate at 100%]</t>
  </si>
  <si>
    <t>Defect Prediction</t>
  </si>
  <si>
    <t>Fault Probability Modeling</t>
  </si>
  <si>
    <t>Uses historical churn data to predict where future bugs will likely occur, measuring the correlation between high change volume and defect density as an early warning system for unstable modules.</t>
  </si>
  <si>
    <t>fault_probability = (insertions + deletions) * complexity</t>
  </si>
  <si>
    <t>Git history density + optional defect linkage (external)</t>
  </si>
  <si>
    <t>Fault Probability =
(
  (lines_added + lines_deleted) * 0.6 +
  commit_count * 0.4
) / normalization_factor</t>
  </si>
  <si>
    <t>FaultProbability = (added_lines + deleted_lines) / commit_count</t>
  </si>
  <si>
    <t>Fault Probability Score = Churn% × Defect_Density (bugs per KLOC) over rolling 30-day window</t>
  </si>
  <si>
    <t>Fault Probability Score &lt; 5 (Churn% × Defect_Density)</t>
  </si>
  <si>
    <t>MAX(0, 100 – (Fault_Probability_Score × 10))</t>
  </si>
  <si>
    <t>Test Case Maintenance Identification</t>
  </si>
  <si>
    <t>Validation Suite Updates</t>
  </si>
  <si>
    <t>Identifies when code has changed so significantly that existing test cases are likely outdated or irrelevant, signaling when tests need to be rewritten to maintain accuracy.</t>
  </si>
  <si>
    <t>test_impact_score = files</t>
  </si>
  <si>
    <t>Git path analysis (test vs main)</t>
  </si>
  <si>
    <t>Validation Suite Updates =
changed_test_files / changed_prod_files</t>
  </si>
  <si>
    <t>ValidationSuiteUpdates = added_lines / churn</t>
  </si>
  <si>
    <t>Stale Test % = (Test Files not updated despite source churn &gt; 20% / Total Test Files) × 100</t>
  </si>
  <si>
    <t>&lt; 5% of test files stale relative to churned source modules</t>
  </si>
  <si>
    <t>MAX(0, 100 – (Stale_Test% × 10))</t>
  </si>
  <si>
    <t>Side Effect Mapping</t>
  </si>
  <si>
    <t>Measures the ripple effect of a code change by identifying all connected modules that may be affected, helping developers understand the full scope before merging to prevent unintended consequences.</t>
  </si>
  <si>
    <t>side_effect_scope = sum(len(file.changed_methods) for file in modified_files)</t>
  </si>
  <si>
    <t>Git hotspots + architecture/import tools (manual)</t>
  </si>
  <si>
    <t>Side Effect Mapping =
count(commits where file_A and file_B changed together) / total_commits</t>
  </si>
  <si>
    <t>SideEffectMapping = deleted_lines / churn</t>
  </si>
  <si>
    <t>SideEffectMapping =
  deleted_lines / churn</t>
  </si>
  <si>
    <t>Impact Coverage % = (Affected Downstream Modules Regression-Tested / Total Identified Downstream Modules) × 100</t>
  </si>
  <si>
    <t>100% of downstream impacted modules included in test run</t>
  </si>
  <si>
    <t>Score = Impact Coverage % [gate at 100%]</t>
  </si>
  <si>
    <t>BLACK BOX TESTING  —  Testable Strategy &amp; Metrics Reference v3.0</t>
  </si>
  <si>
    <t>Behavioural / runtime validation without internal code awareness  |  BRD §9, §15  |  Frontend testing metrics included</t>
  </si>
  <si>
    <t>▶  FUNCTIONAL TESTING — User Journey, Flow Assurance, Boundary &amp; State</t>
  </si>
  <si>
    <t>Functional Testing</t>
  </si>
  <si>
    <t>User Journey Confidence</t>
  </si>
  <si>
    <t>Critical Path Testing</t>
  </si>
  <si>
    <t>Critical Path Success Rate</t>
  </si>
  <si>
    <t>% of critical end-to-end user journeys completing successfully without failure; mapped to PM acceptance criteria</t>
  </si>
  <si>
    <t>Playwright</t>
  </si>
  <si>
    <t>Selenium</t>
  </si>
  <si>
    <t>Python, Node.js (JS, TS), Java, C#</t>
  </si>
  <si>
    <t>Critical Path Pass Rate = (Passing Journey Scripts / Total Journey Scripts) × 100</t>
  </si>
  <si>
    <t>100% critical paths passing per build</t>
  </si>
  <si>
    <t>Score = Critical Path Pass Rate %  [gate: 100%]</t>
  </si>
  <si>
    <t>Happy Path Testing</t>
  </si>
  <si>
    <t>Happy Path Pass Rate</t>
  </si>
  <si>
    <t>% of primary intended workflows completing successfully under normal conditions using valid inputs</t>
  </si>
  <si>
    <t>Happy Path Pass Rate = (Passing Happy Path Tests / Total Happy Path Tests) × 100</t>
  </si>
  <si>
    <t>100% happy paths passing per build</t>
  </si>
  <si>
    <t>Score = Happy Path Pass Rate %</t>
  </si>
  <si>
    <t>End-to-End Workflow Testing</t>
  </si>
  <si>
    <t>Workflow Execution Success %</t>
  </si>
  <si>
    <t>% of full multi-step workflows executing successfully across all integrated systems and services</t>
  </si>
  <si>
    <t>Python, Node.js (JS, TS), Java, C#, PHP, Ruby</t>
  </si>
  <si>
    <t>E2E Success % = (Passed E2E Flows / Total E2E Flows) × 100</t>
  </si>
  <si>
    <t>&gt;= 95% workflow success rate</t>
  </si>
  <si>
    <t>Score = E2E Success %</t>
  </si>
  <si>
    <t>Flow Assurance Confidence</t>
  </si>
  <si>
    <t>Step Transition Testing</t>
  </si>
  <si>
    <t>State Transition Accuracy %</t>
  </si>
  <si>
    <t>% of individual step transitions within a multi-step workflow producing correct next-state and data handoff</t>
  </si>
  <si>
    <t>Step Accuracy = (Correct Step Transitions / Total Step Transitions) × 100</t>
  </si>
  <si>
    <t>&gt;= 95% step transitions accurate</t>
  </si>
  <si>
    <t>Score = Step Accuracy %</t>
  </si>
  <si>
    <t>Input Boundary Validity</t>
  </si>
  <si>
    <t>Minimum Boundary Testing</t>
  </si>
  <si>
    <t>Min Value Pass Rate</t>
  </si>
  <si>
    <t>% of minimum boundary input values handled correctly without error or unexpected behaviour</t>
  </si>
  <si>
    <t>Min Pass Rate = (Min Boundary Tests Passing / Total Min Boundary Tests) × 100</t>
  </si>
  <si>
    <t>100% min boundary values handled correctly</t>
  </si>
  <si>
    <t>Score = Min Pass Rate %</t>
  </si>
  <si>
    <t>Maximum Boundary Testing</t>
  </si>
  <si>
    <t>Max Value Pass Rate</t>
  </si>
  <si>
    <t>% of maximum boundary input values handled correctly without overflow or unexpected result</t>
  </si>
  <si>
    <t>Max Pass Rate = (Max Boundary Tests Passing / Total Max Boundary Tests) × 100</t>
  </si>
  <si>
    <t>100% max boundary values handled correctly</t>
  </si>
  <si>
    <t>Score = Max Pass Rate %</t>
  </si>
  <si>
    <t>Just-Outside Boundary Testing</t>
  </si>
  <si>
    <t>Out-of-Range Rejection Rate</t>
  </si>
  <si>
    <t>% of out-of-range inputs that are correctly rejected or gracefully handled by validation logic</t>
  </si>
  <si>
    <t>Rejection Rate = (Correctly Rejected OOB Inputs / Total OOB Inputs) × 100</t>
  </si>
  <si>
    <t>100% out-of-range inputs rejected</t>
  </si>
  <si>
    <t>Score = Rejection Rate %</t>
  </si>
  <si>
    <t>Partition Class Coverage</t>
  </si>
  <si>
    <t>Valid Partition Testing</t>
  </si>
  <si>
    <t>Valid Class Pass Rate</t>
  </si>
  <si>
    <t>% of equivalence input partition classes (valid inputs) tested and behaving consistently within each class</t>
  </si>
  <si>
    <t>Valid Class Coverage = (Valid Partitions Passing / Total Valid Partitions) × 100</t>
  </si>
  <si>
    <t>&gt;= 90% valid classes covered</t>
  </si>
  <si>
    <t>Score = Valid Class Coverage %</t>
  </si>
  <si>
    <t>Transition Correctness</t>
  </si>
  <si>
    <t>Valid State Transition Testing</t>
  </si>
  <si>
    <t>Valid Transition Pass Rate</t>
  </si>
  <si>
    <t>% of valid state transitions that produce the correct next state and output</t>
  </si>
  <si>
    <t>Valid Transition Pass Rate = (Correct Valid Transitions / Total Valid Transitions) × 100</t>
  </si>
  <si>
    <t>&gt;= 95% valid transitions pass</t>
  </si>
  <si>
    <t>Score = Valid Transition Pass Rate %</t>
  </si>
  <si>
    <t>▶  API TESTING — Interface Reliability, Contract, Schema Drift</t>
  </si>
  <si>
    <t>API Testing</t>
  </si>
  <si>
    <t>Interface Reliability</t>
  </si>
  <si>
    <t>API Availability Testing</t>
  </si>
  <si>
    <t>API Uptime %</t>
  </si>
  <si>
    <t>% of time the API endpoint is reachable and returning valid HTTP 2xx responses during test window</t>
  </si>
  <si>
    <t>Uptime % = (Successful Health-Check Pings / Total Pings) × 100</t>
  </si>
  <si>
    <t>&gt;= 99.9% uptime in test/staging environment</t>
  </si>
  <si>
    <t>Score = Uptime %  [gate: &gt;= 99%]</t>
  </si>
  <si>
    <t>Response Integrity Testing</t>
  </si>
  <si>
    <t>Payload Accuracy Validation</t>
  </si>
  <si>
    <t>Payload Accuracy Score</t>
  </si>
  <si>
    <t>% of API responses whose payload structure and data types exactly match the expected schema definition</t>
  </si>
  <si>
    <t>Payload Accuracy = (Schema-Conformant Responses / Total Responses) × 100</t>
  </si>
  <si>
    <t>&gt;= 99% payload accuracy</t>
  </si>
  <si>
    <t>Score = Payload Accuracy %</t>
  </si>
  <si>
    <t>Contract Reliability</t>
  </si>
  <si>
    <t>OpenAPI Contract Testing</t>
  </si>
  <si>
    <t>Contract Conformance Rate</t>
  </si>
  <si>
    <t>% of API responses that fully comply with the OpenAPI 3.x / Swagger specification contract</t>
  </si>
  <si>
    <t>Conformance Rate = (Conformant API Calls / Total Tested Calls) × 100</t>
  </si>
  <si>
    <t>100% contract conformance — zero drift tolerated</t>
  </si>
  <si>
    <t>Score = Conformance Rate %</t>
  </si>
  <si>
    <t>Consumer-Driven Contract Testing</t>
  </si>
  <si>
    <t>Pact Contract Verification</t>
  </si>
  <si>
    <t>Consumer Contract Pass Rate</t>
  </si>
  <si>
    <t>% of provider responses satisfying all consumer-side contract expectations (Pact consumer-driven style)</t>
  </si>
  <si>
    <t>Pact (multi-language OSS)</t>
  </si>
  <si>
    <t>PactFlow (free for 5 integrations)</t>
  </si>
  <si>
    <t>Python, Node.js (JS, TS), Java, C#, Ruby, PHP</t>
  </si>
  <si>
    <t>Consumer Pass Rate = (Satisfied Consumer Contracts / Total Consumer Contracts) × 100</t>
  </si>
  <si>
    <t>100% consumer contracts satisfied per build</t>
  </si>
  <si>
    <t>Score = Consumer Pass Rate %</t>
  </si>
  <si>
    <t>Schema Drift Detection</t>
  </si>
  <si>
    <t>Breaking Change Detection</t>
  </si>
  <si>
    <t>Schema Drift Frequency</t>
  </si>
  <si>
    <t>Number of unannounced schema-breaking changes (field removal, type change) detected between consecutive builds</t>
  </si>
  <si>
    <t>Language-agnostic (HTTP-based)</t>
  </si>
  <si>
    <t>Drift Count = Number of breaking diff events per build cycle</t>
  </si>
  <si>
    <t>0 unannounced schema-breaking changes per sprint</t>
  </si>
  <si>
    <t>MAX(0, 100 – (Drift_Count × 20))  [each drift event = –20 pts]</t>
  </si>
  <si>
    <t>▶  COMPATIBILITY TESTING — Cross-Browser, Cross-Device, Visual Regression &amp; Accessibility</t>
  </si>
  <si>
    <t>Compatibility Testing</t>
  </si>
  <si>
    <t>Experience Stability</t>
  </si>
  <si>
    <t>Cross-Browser Testing</t>
  </si>
  <si>
    <t>Browser Compatibility Pass Rate</t>
  </si>
  <si>
    <t>% of test scenarios passing across all targeted browsers (Chrome, Firefox, Safari, Edge) at defined viewport sizes</t>
  </si>
  <si>
    <t>Pass Rate = (Passing Browser × Scenario Combos / Total Combos) × 100</t>
  </si>
  <si>
    <t>&gt;= 98% browser compatibility pass rate</t>
  </si>
  <si>
    <t>Score = Pass Rate %</t>
  </si>
  <si>
    <t>Cross-Device Layout Validation</t>
  </si>
  <si>
    <t>Breakpoint Validation</t>
  </si>
  <si>
    <t>Breakpoint Pass Rate</t>
  </si>
  <si>
    <t>% of UI breakpoints (mobile, tablet, desktop) rendering correctly without layout regression</t>
  </si>
  <si>
    <t>JS, TS, JSX, TSX, Vue</t>
  </si>
  <si>
    <t>Breakpoint Pass Rate = (Passing Breakpoint Tests / Total Breakpoint Tests) × 100</t>
  </si>
  <si>
    <t>100% breakpoint pass rate</t>
  </si>
  <si>
    <t>Score = Breakpoint Pass Rate %</t>
  </si>
  <si>
    <t>Frontend Testing</t>
  </si>
  <si>
    <t>Visual Regression Testing</t>
  </si>
  <si>
    <t>Screenshot Comparison</t>
  </si>
  <si>
    <t>Visual Regression Failure Rate</t>
  </si>
  <si>
    <t>% pixel difference between baseline and current screenshot at defined viewports; detects unintended UI changes</t>
  </si>
  <si>
    <t>Pixel Diff % = (Changed Pixels / Total Pixels) × 100</t>
  </si>
  <si>
    <t>&lt;= 1% pixel difference threshold</t>
  </si>
  <si>
    <t>MAX(0, 100 – Pixel_Diff% × 50)</t>
  </si>
  <si>
    <t>DOM &amp; Interaction Validation</t>
  </si>
  <si>
    <t>Element Interaction Testing</t>
  </si>
  <si>
    <t>Interaction Success Rate</t>
  </si>
  <si>
    <t>% of interactive UI elements (buttons, forms, modals, dropdowns) responding correctly to user interactions</t>
  </si>
  <si>
    <t>Interaction Pass Rate = (Passing Interaction Tests / Total Interaction Tests) × 100</t>
  </si>
  <si>
    <t>100% interactive element pass rate</t>
  </si>
  <si>
    <t>Score = Interaction Pass Rate %</t>
  </si>
  <si>
    <t>Accessibility Validation</t>
  </si>
  <si>
    <t>WCAG Compliance Testing</t>
  </si>
  <si>
    <t>WCAG Compliance Score</t>
  </si>
  <si>
    <t>Count of WCAG 2.1 Level A and AA violations detected by automated accessibility scanning</t>
  </si>
  <si>
    <t>JS, TS, JSX, TSX, Vue, HTML</t>
  </si>
  <si>
    <t>WCAG Score = Crit×20 + Serious×10 + Moderate×3 + Minor×1</t>
  </si>
  <si>
    <t>0 Critical WCAG violations; 0 Level A failures</t>
  </si>
  <si>
    <t>MAX(0, 100 – WCAG_Score)</t>
  </si>
  <si>
    <t>Keyboard Navigation Testing</t>
  </si>
  <si>
    <t>Keyboard Accessibility Coverage</t>
  </si>
  <si>
    <t>Keyboard Navigation Coverage</t>
  </si>
  <si>
    <t>% of interactive elements reachable and operable by keyboard alone (Tab, Enter, Space, Arrow keys)</t>
  </si>
  <si>
    <t>Keyboard Coverage = (Keyboard-Accessible Elements / Total Interactive Elements) × 100</t>
  </si>
  <si>
    <t>&gt;= 100% keyboard navigable critical elements</t>
  </si>
  <si>
    <t>Score = Keyboard Coverage %</t>
  </si>
  <si>
    <t>SECURITY TESTING — Repository Code Validation (Static / No Live App Needed)</t>
  </si>
  <si>
    <t>OWASP · PCI-DSS · FERPA/COPPA · GDPR · SOC 2  |  All tests run against source code, config files, git history, or dependency manifests</t>
  </si>
  <si>
    <t>Direct Metric</t>
  </si>
  <si>
    <t>Validation Type</t>
  </si>
  <si>
    <t>Requires Live App?</t>
  </si>
  <si>
    <t>File / Artifact Scanned</t>
  </si>
  <si>
    <t>▶  SECRET &amp; CREDENTIAL SCANNING</t>
  </si>
  <si>
    <t>Security Testing</t>
  </si>
  <si>
    <t>Secret Detection</t>
  </si>
  <si>
    <t>Secret Scanning</t>
  </si>
  <si>
    <t>Hardcoded Secret Detection</t>
  </si>
  <si>
    <t>Secrets Exposed in Code Count</t>
  </si>
  <si>
    <t>Scans git history and all source files for committed API keys, tokens, passwords, private keys, and certificates.</t>
  </si>
  <si>
    <t>Gitleaks</t>
  </si>
  <si>
    <t>count(findings where entropy &gt; threshold OR matches secret_regex_patterns)</t>
  </si>
  <si>
    <t>Static Repo Scan</t>
  </si>
  <si>
    <t>Git history, all source files (.env, configs, code)</t>
  </si>
  <si>
    <t>Secrets Count = count(distinct secret patterns detected across all file types)</t>
  </si>
  <si>
    <t>0 hardcoded secrets in source code or git history</t>
  </si>
  <si>
    <t>MAX(0, 100 – (Secrets_Count × 50)) [any = BLOCK]</t>
  </si>
  <si>
    <t>Pre-Commit Secret Prevention</t>
  </si>
  <si>
    <t>Blocked Secret Commit Count</t>
  </si>
  <si>
    <t>Counts secret commit attempts blocked by pre-commit hooks before reaching the remote repository — measures enforcement effectiveness.</t>
  </si>
  <si>
    <t>detect-secrets</t>
  </si>
  <si>
    <t>count(commit_attempts blocked by pre-commit hook in period)</t>
  </si>
  <si>
    <t>Static Pre-Commit Hook</t>
  </si>
  <si>
    <t>Staged git files</t>
  </si>
  <si>
    <t>Block Rate = (Blocked Commits / (Blocked + Slipped Through)) × 100</t>
  </si>
  <si>
    <t>100% of secret patterns blocked before push; 0 slip-throughs</t>
  </si>
  <si>
    <t>Score = Block Rate % [gate at 100%]</t>
  </si>
  <si>
    <t>Secrets in Git History</t>
  </si>
  <si>
    <t>Historical Secret Exposure Count</t>
  </si>
  <si>
    <t>Full git history scan for secrets committed and later deleted — still accessible in git log. Detects compliance violations requiring forced-push remediation.</t>
  </si>
  <si>
    <t>Trufflehog</t>
  </si>
  <si>
    <t>count(commits in full history where secret_pattern matched AND NOT in HEAD)</t>
  </si>
  <si>
    <t>Static Git History Scan</t>
  </si>
  <si>
    <t>Full git commit history</t>
  </si>
  <si>
    <t>Historical Exposure Score = Count(Historical Secrets) × 40</t>
  </si>
  <si>
    <t>0 secrets exposed anywhere in git commit history</t>
  </si>
  <si>
    <t>MAX(0, 100 – Historical_Exposure_Score)</t>
  </si>
  <si>
    <t>▶  INFRASTRUCTURE AS CODE (IaC) SECURITY SCANNING</t>
  </si>
  <si>
    <t>IaC Security</t>
  </si>
  <si>
    <t>IaC Scanning</t>
  </si>
  <si>
    <t>Open Security Group Rule Detection</t>
  </si>
  <si>
    <t>Open Firewall Rule Count</t>
  </si>
  <si>
    <t>Detects Terraform/CloudFormation resources defining security groups open to 0.0.0.0/0 on sensitive ports (non-80/443).</t>
  </si>
  <si>
    <t>Checkov / tfsec</t>
  </si>
  <si>
    <t>count(resources where ingress_cidr == '0.0.0.0/0' AND port NOT IN [80,443])</t>
  </si>
  <si>
    <t>Static IaC Scan</t>
  </si>
  <si>
    <t>.tf, .yaml, .json IaC files</t>
  </si>
  <si>
    <t>Firewall Risk = Count(Open Ports)×30 + Count(Wildcard CIDRs)×15</t>
  </si>
  <si>
    <t>0 security groups open to 0.0.0.0/0 on non-web ports</t>
  </si>
  <si>
    <t>MAX(0, 100 – Firewall_Risk)</t>
  </si>
  <si>
    <t>Unencrypted Storage Definition</t>
  </si>
  <si>
    <t>Unencrypted Storage Count</t>
  </si>
  <si>
    <t>Identifies RDS, S3, EBS, GCS resources in IaC without encryption-at-rest enabled — non-compliant with PCI-DSS and SOC 2.</t>
  </si>
  <si>
    <t>count(resources where encryption_enabled == false OR storage_encrypted == false)</t>
  </si>
  <si>
    <t>.tf, CloudFormation templates</t>
  </si>
  <si>
    <t>Encryption Deficit Score = Count(Unencrypted Resources)×25</t>
  </si>
  <si>
    <t>0 storage resources without encryption-at-rest defined</t>
  </si>
  <si>
    <t>MAX(0, 100 – Encryption_Deficit_Score)</t>
  </si>
  <si>
    <t>Publicly Exposed Resource Detection</t>
  </si>
  <si>
    <t>Public Storage Bucket Count</t>
  </si>
  <si>
    <t>Detects S3/GCS buckets in IaC with public access enabled — measures blast radius of potential data leakage from misconfigured cloud storage.</t>
  </si>
  <si>
    <t>Checkov / kics</t>
  </si>
  <si>
    <t>count(aws_s3_bucket where acl == 'public-read' OR block_public_access == false)</t>
  </si>
  <si>
    <t>Public Exposure Score = Count(Public Buckets)×40</t>
  </si>
  <si>
    <t>0 publicly accessible storage buckets in IaC definitions</t>
  </si>
  <si>
    <t>MAX(0, 100 – Public_Exposure_Score)</t>
  </si>
  <si>
    <t>CIS Benchmark Compliance</t>
  </si>
  <si>
    <t>CIS Benchmark Violation Count</t>
  </si>
  <si>
    <t>Measures percentage of IaC configurations meeting CIS Benchmark baseline controls for AWS/GCP/Azure cloud infrastructure.</t>
  </si>
  <si>
    <t>Checkov</t>
  </si>
  <si>
    <t>count(checks_failed against CIS benchmark ruleset) / total_checks × 100</t>
  </si>
  <si>
    <t>All IaC files in repository</t>
  </si>
  <si>
    <t>CIS Compliance % = (Passing CIS Checks / Total CIS Checks) × 100</t>
  </si>
  <si>
    <t>&gt;= 95% CIS Benchmark compliance across IaC files</t>
  </si>
  <si>
    <t>Score = CIS Compliance % [gate at 95%]</t>
  </si>
  <si>
    <t>▶  SOC 2 / CHANGE CONTROL — Repository Metadata</t>
  </si>
  <si>
    <t>SOC 2 Compliance</t>
  </si>
  <si>
    <t>Change Management Testing</t>
  </si>
  <si>
    <t>Change Control Verification</t>
  </si>
  <si>
    <t>Unreviewed Change Count</t>
  </si>
  <si>
    <t>Count of code changes merged without required review approvals, bypassing change control gates — direct SOC 2 CC8.1 evidence.</t>
  </si>
  <si>
    <t>GitHub Branch Protection API</t>
  </si>
  <si>
    <t>count(merged PRs where required_reviewers == 0 OR review_bypassed == true)</t>
  </si>
  <si>
    <t>Static Git Metadata Query</t>
  </si>
  <si>
    <t>GitHub PR / audit log</t>
  </si>
  <si>
    <t>Bypass Rate = (Unreviewed Merges / Total Merges) × 100</t>
  </si>
  <si>
    <t>0 merges bypassing required review gates</t>
  </si>
  <si>
    <t>MAX(0, 100 – (Bypass_Rate × 20))</t>
  </si>
  <si>
    <t>Access Control</t>
  </si>
  <si>
    <t>Privileged Access Audit</t>
  </si>
  <si>
    <t>Overprivileged Account Count</t>
  </si>
  <si>
    <t>Identifies repository collaborators or CI/CD service accounts with admin/write permissions exceeding their operational need — principle of least privilege.</t>
  </si>
  <si>
    <t>GitHub API / GitLab API</t>
  </si>
  <si>
    <t>count(collaborators where permission == 'admin' AND role != 'owner')</t>
  </si>
  <si>
    <t>Static API Metadata Query</t>
  </si>
  <si>
    <t>Repository collaborator / permission configuration</t>
  </si>
  <si>
    <t>Privilege Score = Count(Overprivileged Accounts)×20</t>
  </si>
  <si>
    <t>0 service accounts with admin access beyond operational need</t>
  </si>
  <si>
    <t>MAX(0, 100 – Privilege_Score)</t>
  </si>
  <si>
    <t>SECURITY TESTING — API Service Validation (Dynamic / URL-Based)</t>
  </si>
  <si>
    <t>OWASP · PCI-DSS · FERPA/COPPA · GDPR · SOC 2  |  All tests require a RUNNING application / live endpoint</t>
  </si>
  <si>
    <t>▶  OWASP TOP 10 — Dynamic Web Application Security Testing</t>
  </si>
  <si>
    <t>OWASP Testing</t>
  </si>
  <si>
    <t>DAST — Dynamic Application Security Testing</t>
  </si>
  <si>
    <t>OWASP Top 10 Vulnerability Scan</t>
  </si>
  <si>
    <t>OWASP High/Critical Finding Count</t>
  </si>
  <si>
    <t>Dynamic scan of a running application to identify OWASP Top 10 vulnerabilities: injection, broken auth, SSRF, insecure design, etc.</t>
  </si>
  <si>
    <t>OWASP ZAP</t>
  </si>
  <si>
    <t>count(risk == 'High' OR risk == 'Critical')</t>
  </si>
  <si>
    <t>Nikto</t>
  </si>
  <si>
    <t>Dynamic DAST</t>
  </si>
  <si>
    <t>DAST Score = Count(Critical)×25 + Count(High)×10 + Count(Medium)×3</t>
  </si>
  <si>
    <t>0 High/Critical OWASP findings; &lt; 5 Medium per release</t>
  </si>
  <si>
    <t>MAX(0, 100 – DAST_Score) [any critical = BLOCK]</t>
  </si>
  <si>
    <t>Per Sprint / Pre-Release</t>
  </si>
  <si>
    <t>SQL Injection Testing</t>
  </si>
  <si>
    <t>SQLi Vulnerability Count</t>
  </si>
  <si>
    <t>Targeted dynamic testing for SQL injection vulnerabilities in all user-input paths and API parameters against the running application.</t>
  </si>
  <si>
    <t>CWE-89/CWE-564 — count(cweid in (89,564) OR alert contains SQLi keywords)</t>
  </si>
  <si>
    <t>SQLi Count = Confirmed SQLi findings from dynamic scan</t>
  </si>
  <si>
    <t>0 SQLi vulnerabilities</t>
  </si>
  <si>
    <t>MAX(0, 100 – (SQLi_Count × 30))</t>
  </si>
  <si>
    <t>XSS Testing</t>
  </si>
  <si>
    <t>XSS Vulnerability Count</t>
  </si>
  <si>
    <t>Dynamic testing for Cross-Site Scripting vulnerabilities in all reflected, stored, and DOM-based injection points of the live application.</t>
  </si>
  <si>
    <t>CWE-79/CWE-83 — count(cweid in (79,83) OR alert contains 'xss','reflected xss','stored xss','dom xss')</t>
  </si>
  <si>
    <t>XSS Count = Confirmed XSS findings from dynamic scan</t>
  </si>
  <si>
    <t>0 XSS vulnerabilities (High/Critical)</t>
  </si>
  <si>
    <t>MAX(0, 100 – (XSS_Count × 25))</t>
  </si>
  <si>
    <t>Authentication &amp; Authorization Testing</t>
  </si>
  <si>
    <t>Broken Access Control Testing</t>
  </si>
  <si>
    <t>Unauthorized Access Count</t>
  </si>
  <si>
    <t>Tests for broken access control — horizontal/vertical privilege escalation, IDOR, missing function-level access control in the live API.</t>
  </si>
  <si>
    <t>CWE-284/285/639/862 — count(cweid in (284,285,639,862) OR alert contains 'idor','authorization bypass','privilege escalation')</t>
  </si>
  <si>
    <t>Semgrep OSS</t>
  </si>
  <si>
    <t>Auth Failure Count = Unauthorized endpoints successfully accessed during scan</t>
  </si>
  <si>
    <t>0 unauthorized access paths; 0 IDOR vulnerabilities</t>
  </si>
  <si>
    <t>MAX(0, 100 – (Auth_Failure_Count × 20))</t>
  </si>
  <si>
    <t>Server-Side Request Forgery (SSRF) Testing</t>
  </si>
  <si>
    <t>SSRF Vulnerability Count</t>
  </si>
  <si>
    <t>Tests live API endpoints for SSRF vulnerabilities where the server can be tricked into making requests to internal or external resources.</t>
  </si>
  <si>
    <t>CWE-918 — count(findings where alert contains 'ssrf' OR 'server-side request forgery')</t>
  </si>
  <si>
    <t>Burp Suite Community</t>
  </si>
  <si>
    <t>SSRF Count = Confirmed SSRF findings from dynamic scan</t>
  </si>
  <si>
    <t>0 SSRF vulnerabilities</t>
  </si>
  <si>
    <t>MAX(0, 100 – (SSRF_Count × 35))</t>
  </si>
  <si>
    <t>▶  API SECURITY — Authentication, Rate Limiting, Transport</t>
  </si>
  <si>
    <t>API Security</t>
  </si>
  <si>
    <t>API Endpoint Validation</t>
  </si>
  <si>
    <t>Unauthenticated Endpoint Testing</t>
  </si>
  <si>
    <t>Unauthenticated API Endpoint Count</t>
  </si>
  <si>
    <t>Identifies API endpoints accessible without a valid authentication token — returns 200 without Authorization header present.</t>
  </si>
  <si>
    <t>OWASP ZAP / 42Crunch</t>
  </si>
  <si>
    <t>count(endpoints returning 2xx without valid Authorization header)</t>
  </si>
  <si>
    <t>Postman / Newman</t>
  </si>
  <si>
    <t>Dynamic API Test</t>
  </si>
  <si>
    <t>Unauth Count = Count(Endpoints responding 200 without auth token)</t>
  </si>
  <si>
    <t>0 authenticated endpoints accessible without valid token</t>
  </si>
  <si>
    <t>MAX(0, 100 – (Unauth_Count × 25))</t>
  </si>
  <si>
    <t>Authorization Testing</t>
  </si>
  <si>
    <t>BOLA / IDOR Testing</t>
  </si>
  <si>
    <t>BOLA Finding Count</t>
  </si>
  <si>
    <t>Tests whether authenticated User A can access User B's resources via manipulated object references in live API calls.</t>
  </si>
  <si>
    <t>Postman / ZAP</t>
  </si>
  <si>
    <t>count(requests where user_a accesses user_b_resource AND response_code == 200)</t>
  </si>
  <si>
    <t>ZAP Active Scan</t>
  </si>
  <si>
    <t>BOLA Risk = Count(Cross-user Resource Access Violations)×25</t>
  </si>
  <si>
    <t>0 broken object-level authorization findings</t>
  </si>
  <si>
    <t>MAX(0, 100 – BOLA_Risk)</t>
  </si>
  <si>
    <t>Rate Limiting Compliance</t>
  </si>
  <si>
    <t>Rate Limit Enforcement Testing</t>
  </si>
  <si>
    <t>APIs Without Rate Limiting Count</t>
  </si>
  <si>
    <t>Verifies all public-facing API endpoints enforce request rate limiting — tests that 429 responses are returned after threshold is exceeded.</t>
  </si>
  <si>
    <t>count(endpoints where 429 NOT returned after threshold_requests within time_window)</t>
  </si>
  <si>
    <t>k6 / Locust</t>
  </si>
  <si>
    <t>Rate Limit Coverage % = (Endpoints with enforced rate limit / Total Public Endpoints) × 100</t>
  </si>
  <si>
    <t>100% of public API endpoints enforce rate limiting</t>
  </si>
  <si>
    <t>Score = Rate_Limit_Coverage % [gate at 100%]</t>
  </si>
  <si>
    <t>Transport Security</t>
  </si>
  <si>
    <t>Security Header Validation</t>
  </si>
  <si>
    <t>Missing Security Header Count</t>
  </si>
  <si>
    <t>Checks that all API responses include required security headers: HSTS, X-Frame-Options, Content-Security-Policy, X-Content-Type-Options.</t>
  </si>
  <si>
    <t>count(responses missing [Strict-Transport-Security, X-Frame-Options, Content-Security-Policy, X-Content-Type-Options])</t>
  </si>
  <si>
    <t>SecurityHeaders.com API</t>
  </si>
  <si>
    <t>Header Gap Score = Count(Missing Required Headers per endpoint)</t>
  </si>
  <si>
    <t>0 responses missing required security headers</t>
  </si>
  <si>
    <t>MAX(0, 100 – (Header_Gap_Score × 10))</t>
  </si>
  <si>
    <t>TLS Configuration Testing</t>
  </si>
  <si>
    <t>Weak TLS Config Count</t>
  </si>
  <si>
    <t>Validates that all API endpoints use TLS 1.2+ and strong cipher suites — tests for deprecated SSL/TLS versions and weak ciphers.</t>
  </si>
  <si>
    <t>testssl.sh (OSS)</t>
  </si>
  <si>
    <t>count(findings where protocol in [SSLv3,TLS1.0,TLS1.1] OR cipher_strength == 'weak')</t>
  </si>
  <si>
    <t>Dynamic TLS Scan</t>
  </si>
  <si>
    <t>TLS Risk = Count(Weak Protocols)×20 + Count(Weak Ciphers)×10</t>
  </si>
  <si>
    <t>0 weak TLS configurations; TLS 1.2+ minimum enforced</t>
  </si>
  <si>
    <t>MAX(0, 100 – TLS_Risk)</t>
  </si>
  <si>
    <t>Auth &amp; Session</t>
  </si>
  <si>
    <t>Session Management Testing</t>
  </si>
  <si>
    <t>Session Timeout Compliance</t>
  </si>
  <si>
    <t>Session Timeout Compliance Rate</t>
  </si>
  <si>
    <t>Validates that sessions expire after the policy-defined idle period and tokens cannot be reused after expiry — tests live session management endpoints.</t>
  </si>
  <si>
    <t>Postman / Playwright</t>
  </si>
  <si>
    <t>(sessions_expired_within_policy / total_sessions_tested) × 100</t>
  </si>
  <si>
    <t>Newman</t>
  </si>
  <si>
    <t>Compliance Rate = (Sessions expiring within SLA / Total Sessions Tested) × 100</t>
  </si>
  <si>
    <t>100% of sessions expire within policy-defined idle timeout</t>
  </si>
  <si>
    <t>Score = Compliance Rate % [gate at 100%]</t>
  </si>
  <si>
    <t>▶  PCI-DSS COMPLIANCE — Live Payment Security</t>
  </si>
  <si>
    <t>PCI-DSS Compliance</t>
  </si>
  <si>
    <t>Payment Data Security</t>
  </si>
  <si>
    <t>Cardholder Data Exposure Scan</t>
  </si>
  <si>
    <t>CHD Exposure Finding Count</t>
  </si>
  <si>
    <t>Detects unmasked or improperly transmitted cardholder data (PAN, track data) in live HTTP/API responses and network traffic.</t>
  </si>
  <si>
    <t>count(alerts where response_body matches PAN_regex OR track_data_regex)</t>
  </si>
  <si>
    <t>mitmproxy + Presidio</t>
  </si>
  <si>
    <t>CHD Score = Count(Exposed PAN Instances)×40 + Count(Partial Exposure)×10</t>
  </si>
  <si>
    <t>0 CHD exposure findings in any API response</t>
  </si>
  <si>
    <t>MAX(0, 100 – CHD_Score) [any = BLOCK]</t>
  </si>
  <si>
    <t>▶  GDPR / FERPA / COPPA — Live Privacy Compliance</t>
  </si>
  <si>
    <t>GDPR Compliance</t>
  </si>
  <si>
    <t>PII in API Responses</t>
  </si>
  <si>
    <t>PII Exposure in Live Responses</t>
  </si>
  <si>
    <t>PII in API Response Count</t>
  </si>
  <si>
    <t>Intercepts live API responses and detects PII (SSN, email, student ID) returned unnecessarily in payloads — runtime privacy validation.</t>
  </si>
  <si>
    <t>Presidio + mitmproxy</t>
  </si>
  <si>
    <t>count(responses where Presidio detects entity_type in [US_SSN,EMAIL_ADDRESS,PERSON,STUDENT_ID])</t>
  </si>
  <si>
    <t>Dynamic Proxy Scan</t>
  </si>
  <si>
    <t>PII Leak Score = Count(PII Fields Exposed Unnecessarily)×30</t>
  </si>
  <si>
    <t>0 PII items exposed in API responses beyond minimum necessary</t>
  </si>
  <si>
    <t>MAX(0, 100 – PII_Leak_Score) [any = BLOCK]</t>
  </si>
  <si>
    <t>Data Subject Rights Testing</t>
  </si>
  <si>
    <t>Right-to-Erasure Testing</t>
  </si>
  <si>
    <t>Data Deletion Verification Rate</t>
  </si>
  <si>
    <t>Validates that user data deletion requests (GDPR Art. 17) are fully executed across all storage layers via live API calls.</t>
  </si>
  <si>
    <t>Postman</t>
  </si>
  <si>
    <t>(deletion_requests_fully_executed / total_deletion_requests) × 100</t>
  </si>
  <si>
    <t>REST Assured</t>
  </si>
  <si>
    <t>Deletion Rate = (Storage Layers with Confirmed Deletion / Total Storage Layers) × 100</t>
  </si>
  <si>
    <t>100% data deleted across all storage layers on erasure request</t>
  </si>
  <si>
    <t>Score = Deletion Rate % [gate at 100%]</t>
  </si>
  <si>
    <t>Consent &amp; Age-Gate Compliance</t>
  </si>
  <si>
    <t>COPPA Age Verification Testing</t>
  </si>
  <si>
    <t>Age-Gate Bypass Count</t>
  </si>
  <si>
    <t>Tests for COPPA age-gate bypass vulnerabilities in the live app — ensures under-13 users cannot access restricted content without parental consent.</t>
  </si>
  <si>
    <t>count(test_cases where underage_user_access == allowed)</t>
  </si>
  <si>
    <t>Dynamic E2E Test</t>
  </si>
  <si>
    <t>Bypass Rate = (Bypassed Age Gates / Total Age Gate Tests) × 100</t>
  </si>
  <si>
    <t>0 age-gate bypass vulnerabilities</t>
  </si>
  <si>
    <t>MAX(0, 100 – (Bypass_Rate × 30))</t>
  </si>
  <si>
    <t>▶  SOC 2 — Audit Readiness &amp; Runtime Controls</t>
  </si>
  <si>
    <t>Audit Evidence Completeness</t>
  </si>
  <si>
    <t>SOC 2 Evidence Collection Rate</t>
  </si>
  <si>
    <t>Evidence Collection Rate %</t>
  </si>
  <si>
    <t>% of SOC 2 Type II control evidence items collected and uploaded for audit period — access logs, change logs, test results, incident reports.</t>
  </si>
  <si>
    <t>Drata</t>
  </si>
  <si>
    <t>(evidence_items_collected / total_required_control_evidence_items) × 100</t>
  </si>
  <si>
    <t>Vanta</t>
  </si>
  <si>
    <t>Platform / SaaS</t>
  </si>
  <si>
    <t>Evidence Rate = (Evidence Collected / Total Required) × 100</t>
  </si>
  <si>
    <t>&gt;= 100% of required SOC 2 control evidence collected per audit period</t>
  </si>
  <si>
    <t>Score = Evidence Rate % [gate at 100%]</t>
  </si>
  <si>
    <t>Count of code changes merged without required review approvals, bypassing change control gates — validated via live GitHub API.</t>
  </si>
  <si>
    <t>GitHub API (branch protection)</t>
  </si>
  <si>
    <t>GitLab API</t>
  </si>
  <si>
    <t>Dynamic API Query</t>
  </si>
  <si>
    <t>COMPLIANCE TESTING  —  Testable Strategy &amp; Metrics Reference v3.0</t>
  </si>
  <si>
    <t>OWASP · PCI-DSS (Retail) · FERPA/COPPA (EdTech) · GDPR · SOC 2  |  BRD §12</t>
  </si>
  <si>
    <t>Derivations</t>
  </si>
  <si>
    <t>▶  FERPA / COPPA / GDPR — Educational Data &amp; Privacy Compliance</t>
  </si>
  <si>
    <t>FERPA/COPPA Compliance</t>
  </si>
  <si>
    <t>Student PII Exposure Scan</t>
  </si>
  <si>
    <t>PII Data Exposure Detection</t>
  </si>
  <si>
    <t>PII Exposure Finding Count</t>
  </si>
  <si>
    <t>Scans codebase and logs for student PII exposure — SSN, student ID, email, grade data — in violation of FERPA</t>
  </si>
  <si>
    <t>Microsoft Presidio</t>
  </si>
  <si>
    <t>count(findings where entity_type in [US_SSN, EMAIL_ADDRESS, PERSON, STUDENT_ID] AND source in [codebase, logs, API_response])</t>
  </si>
  <si>
    <t>Gitleaks (custom regex)</t>
  </si>
  <si>
    <t>Language-agnostic (Git / CI level)</t>
  </si>
  <si>
    <t>PII Exposure Count = Instances of PII patterns (SSN, student ID, email, DOB) found in code/logs</t>
  </si>
  <si>
    <t>0 PII exposure findings in code, logs, or test fixtures</t>
  </si>
  <si>
    <t>MAX(0, 100 – (PII_Count × 40))  [any exposure = BLOCK]</t>
  </si>
  <si>
    <t>Tests for COPPA age-gate bypass vulnerabilities — ensures under-13 users cannot access restricted content without parental consent</t>
  </si>
  <si>
    <t>No (Test case for underage is written)</t>
  </si>
  <si>
    <t>Age_Gate_Bypass_Count =
count(
  test_cases where
    underage_user_access == allowed
)</t>
  </si>
  <si>
    <t>JS, TS, Python, Java</t>
  </si>
  <si>
    <t>Bypass Count = Number of age-gate bypass scenarios succeeding in test suite</t>
  </si>
  <si>
    <t>MAX(0, 100 – (Bypass_Count × 30))</t>
  </si>
  <si>
    <t>Validates that user data deletion requests (GDPR Art. 17 Right to Erasure) are fully executed across all storage layers</t>
  </si>
  <si>
    <t>(deletion requests fully executed across all storage layers / total deletion requests tested) × 100</t>
  </si>
  <si>
    <t>JS, TS, Python, Java, C#</t>
  </si>
  <si>
    <t>Score = Deletion Rate %  [gate: 100%]</t>
  </si>
  <si>
    <t>Cookie &amp; Consent Testing</t>
  </si>
  <si>
    <t>Cookie Consent Compliance</t>
  </si>
  <si>
    <t>Non-Consented Tracker Count</t>
  </si>
  <si>
    <t>Tests that no tracking cookies or analytics scripts load before explicit user consent is obtained</t>
  </si>
  <si>
    <t>OneTrust Cookie Consent</t>
  </si>
  <si>
    <t>count(trackers detected before consent event fired)</t>
  </si>
  <si>
    <t>Cookiebot</t>
  </si>
  <si>
    <t>Non-Consented Count = Number of analytics/tracking scripts loading before consent signal</t>
  </si>
  <si>
    <t>0 non-consented trackers firing before consent</t>
  </si>
  <si>
    <t>MAX(0, 100 – (Non_Consented_Count × 20))</t>
  </si>
  <si>
    <t>PERFORMANCE TESTING — Repository / Build Artifact Validation (Static / No Live App Needed)</t>
  </si>
  <si>
    <t>Load · Stress · Latency · Reliability · Bundle Size · Build Analysis  |  All tests run against source code, dependency manifests, or build artifacts</t>
  </si>
  <si>
    <t>Java - Primary Tool</t>
  </si>
  <si>
    <t>Python - Primary Tool</t>
  </si>
  <si>
    <t>JavaScript - Primary Tool</t>
  </si>
  <si>
    <t>TypeScript - Primary Tool</t>
  </si>
  <si>
    <t>C# - Primary Tool</t>
  </si>
  <si>
    <t>▶  STATIC PERFORMANCE RISK — Code Complexity &amp; Algorithmic Efficiency</t>
  </si>
  <si>
    <t>Static Analysis</t>
  </si>
  <si>
    <t>Algorithmic Complexity</t>
  </si>
  <si>
    <t>Complexity-Based Performance Risk</t>
  </si>
  <si>
    <t>Cyclomatic Complexity (Performance Hotspots)</t>
  </si>
  <si>
    <t>Flags functions with cyclomatic complexity &gt; 15 that are likely to become performance bottlenecks — high complexity correlates with slow execution paths.</t>
  </si>
  <si>
    <t>count(functions where cyclomatic_complexity &gt; 15)</t>
  </si>
  <si>
    <t>Static Code Scan</t>
  </si>
  <si>
    <t>Source code files (.py, .js, .ts, .java, .cs, .php, .rb, .c, .cpp)</t>
  </si>
  <si>
    <t>Hotspot Count = Count(Functions with CC &gt; 15)</t>
  </si>
  <si>
    <t>0 performance-critical functions with CC &gt; 15</t>
  </si>
  <si>
    <t>MAX(0, 100 – (Hotspot_Count × 10))</t>
  </si>
  <si>
    <t>Big-O Complexity Review</t>
  </si>
  <si>
    <t>Nested Loop Depth Count</t>
  </si>
  <si>
    <t>Detects nested loops deeper than 3 levels in source code — O(n³) or worse complexity patterns that cause exponential performance degradation at scale.</t>
  </si>
  <si>
    <t>PMD AST Rules</t>
  </si>
  <si>
    <t>count(functions where max_nesting_depth_of_loops &gt;= 3)</t>
  </si>
  <si>
    <t>Radon AST / custom AST parser</t>
  </si>
  <si>
    <t>count(functions where max_nested_depth &gt;= 3)</t>
  </si>
  <si>
    <t>ESLint AST Rules</t>
  </si>
  <si>
    <t>count(functions where nested_loop_depth &gt;= 3)</t>
  </si>
  <si>
    <t>TypeScript Compiler AST</t>
  </si>
  <si>
    <t>Roslyn SyntaxWalker</t>
  </si>
  <si>
    <t>count(methods where nested_loop_depth &gt;= 3)</t>
  </si>
  <si>
    <t>Source code files</t>
  </si>
  <si>
    <t>Nested Loop Risk = Count(Functions with loop nesting &gt;= 3)×15</t>
  </si>
  <si>
    <t>0 functions with nested loop depth &gt;= 3 in hot code paths</t>
  </si>
  <si>
    <t>MAX(0, 100 – Nested_Loop_Risk)</t>
  </si>
  <si>
    <t>Database Query Analysis</t>
  </si>
  <si>
    <t>N+1 Query Pattern Detection</t>
  </si>
  <si>
    <t>N+1 Query Anti-Pattern Count</t>
  </si>
  <si>
    <t>Scans ORM code patterns for N+1 query anti-patterns — loops issuing individual DB queries instead of batch fetches, causing exponential DB load.</t>
  </si>
  <si>
    <t>Semgrep Hibernate Rules</t>
  </si>
  <si>
    <t>count(DB_queries_inside_loops_without_batch_fetch)</t>
  </si>
  <si>
    <t>Semgrep / AST Analysis</t>
  </si>
  <si>
    <t>count(ORM_queries_inside_loops_without_prefetch)</t>
  </si>
  <si>
    <t>Semgrep JS Rules</t>
  </si>
  <si>
    <t>count(query_patterns_inside_async_loops)</t>
  </si>
  <si>
    <t>Semgrep TypeORM Rules</t>
  </si>
  <si>
    <t>count(TypeORM_queries_inside_loops)</t>
  </si>
  <si>
    <t>Semgrep Entity Framework Rules</t>
  </si>
  <si>
    <t>count(DB_query_patterns_inside_loops_without_batch_fetch)</t>
  </si>
  <si>
    <t>Static SAST Scan</t>
  </si>
  <si>
    <t>Source code files using ORM frameworks (SQLAlchemy, Hibernate, ActiveRecord, EF Core)</t>
  </si>
  <si>
    <t>N+1 Risk Score = Count(N+1 Patterns)×20</t>
  </si>
  <si>
    <t>0 N+1 query patterns in production code paths</t>
  </si>
  <si>
    <t>MAX(0, 100 – N1_Risk_Score)</t>
  </si>
  <si>
    <t>Memory Management</t>
  </si>
  <si>
    <t>Memory Allocation Pattern Analysis</t>
  </si>
  <si>
    <t>Large Allocation in Loop Count</t>
  </si>
  <si>
    <t>Identifies large object allocations or memory-intensive operations inside loops — patterns likely to cause GC pressure and heap exhaustion at scale.</t>
  </si>
  <si>
    <t>Semgrep / PMD AST</t>
  </si>
  <si>
    <t>count(object_creation_inside_loops)</t>
  </si>
  <si>
    <t>count(large_alloc_or_list_concat_inside_loop)</t>
  </si>
  <si>
    <t>count(array_or_object_allocations_inside_loops)</t>
  </si>
  <si>
    <t>TypeScript AST Rules</t>
  </si>
  <si>
    <t>count(memory_intensive_operations_inside_loops)</t>
  </si>
  <si>
    <t>Roslyn Memory Rules</t>
  </si>
  <si>
    <t>count(memory_intensive_allocations_inside_loops)</t>
  </si>
  <si>
    <t>Memory Pressure Score = Count(Large Allocations in Loops)×15</t>
  </si>
  <si>
    <t>0 large memory allocations inside unbounded loops</t>
  </si>
  <si>
    <t>MAX(0, 100 – Memory_Pressure_Score)</t>
  </si>
  <si>
    <t>Concurrency Analysis</t>
  </si>
  <si>
    <t>Thread-Safety Pattern Detection</t>
  </si>
  <si>
    <t>Race Condition Risk Count</t>
  </si>
  <si>
    <t>Scans shared mutable state accessed from multiple threads without proper synchronization — detects potential race conditions before runtime.</t>
  </si>
  <si>
    <t>SpotBugs Concurrency Rules</t>
  </si>
  <si>
    <t>count(shared_mutable_state_without_synchronization)</t>
  </si>
  <si>
    <t>Semgrep (concurrency rules)</t>
  </si>
  <si>
    <t>count(shared_state_access_without_lock)</t>
  </si>
  <si>
    <t>ESLint Async Rules</t>
  </si>
  <si>
    <t>count(async_shared_state_mutations)</t>
  </si>
  <si>
    <t>TypeScript Async Rules</t>
  </si>
  <si>
    <t>count(unsafe_parallel_async_updates)</t>
  </si>
  <si>
    <t>Roslyn Thread Analyzers</t>
  </si>
  <si>
    <t>count(thread_unsafe_shared_resource_access)</t>
  </si>
  <si>
    <t>Race Risk Score = Count(Unguarded Shared State)×20</t>
  </si>
  <si>
    <t>0 unguarded shared mutable state in concurrent code</t>
  </si>
  <si>
    <t>MAX(0, 100 – Race_Risk_Score)</t>
  </si>
  <si>
    <t>▶  DEPENDENCY PERFORMANCE RISK — Bundle Size &amp; Build Analysis</t>
  </si>
  <si>
    <t>Dependency Analysis</t>
  </si>
  <si>
    <t>Bundle Size Analysis</t>
  </si>
  <si>
    <t>Unused Dependency Detection</t>
  </si>
  <si>
    <t>Unused Import Count</t>
  </si>
  <si>
    <t>Detects imported libraries never used in the codebase — dead imports inflate bundle size and slow application startup unnecessarily.</t>
  </si>
  <si>
    <t>PMD UnusedImports</t>
  </si>
  <si>
    <t>count(unused_import_statements)</t>
  </si>
  <si>
    <t>count(unused_imports)</t>
  </si>
  <si>
    <t>depcheck</t>
  </si>
  <si>
    <t>count(unused_dependencies)</t>
  </si>
  <si>
    <t>count(unused_imports_or_exports)</t>
  </si>
  <si>
    <t>Roslyn Code Analysis</t>
  </si>
  <si>
    <t>count(unused_namespaces)</t>
  </si>
  <si>
    <t>Source code files, package.json</t>
  </si>
  <si>
    <t>Dead Import % = (Unused Imports / Total Imports) × 100</t>
  </si>
  <si>
    <t>&lt; 2% unused imports across codebase</t>
  </si>
  <si>
    <t>MAX(0, 100 – (Dead_Import% × 25))</t>
  </si>
  <si>
    <t>Build Performance</t>
  </si>
  <si>
    <t>Build Time Regression</t>
  </si>
  <si>
    <t>Build Duration (seconds)</t>
  </si>
  <si>
    <t>Measures total CI build time — slow builds increase feedback loop latency, reducing developer velocity and deployment frequency.</t>
  </si>
  <si>
    <t>GitHub Actions / GitLab CI/CD</t>
  </si>
  <si>
    <t>build_end_timestamp - build_start_timestamp</t>
  </si>
  <si>
    <t>Static CI Metadata</t>
  </si>
  <si>
    <t>CI pipeline logs / build manifests</t>
  </si>
  <si>
    <t>Build Regression = ((Build_Current – Build_Baseline) / Build_Baseline) × 100</t>
  </si>
  <si>
    <t>&lt; 5% build time regression from baseline; absolute &lt; 10 minutes</t>
  </si>
  <si>
    <t>MAX(0, 100 – (Build_Regression% × 5))</t>
  </si>
  <si>
    <t>Dependency Graph Analysis</t>
  </si>
  <si>
    <t>Circular Dependency Detection</t>
  </si>
  <si>
    <t>Circular Dependency Count</t>
  </si>
  <si>
    <t>Identifies circular import/dependency chains in the module graph — circular deps slow module resolution and cause unpredictable initialization order.</t>
  </si>
  <si>
    <t>ArchUnit</t>
  </si>
  <si>
    <t>count(circular_package_dependencies)</t>
  </si>
  <si>
    <t>pylint import graph</t>
  </si>
  <si>
    <t>count(cyclic_module_imports)</t>
  </si>
  <si>
    <t>count(circular_module_dependencies)</t>
  </si>
  <si>
    <t>count(circular_dependency_cycles)</t>
  </si>
  <si>
    <t>NDepend</t>
  </si>
  <si>
    <t>count(cyclic_assembly_dependencies)</t>
  </si>
  <si>
    <t>Source code files, module imports</t>
  </si>
  <si>
    <t>Circular Dep Score = Count(Circular Dependency Cycles)×15</t>
  </si>
  <si>
    <t>0 circular dependency cycles in module graph</t>
  </si>
  <si>
    <t>MAX(0, 100 – Circular_Dep_Score)</t>
  </si>
  <si>
    <t>▶  CODE QUALITY METRICS IMPACTING RUNTIME PERFORMANCE</t>
  </si>
  <si>
    <t>Code Quality</t>
  </si>
  <si>
    <t>Technical Debt</t>
  </si>
  <si>
    <t>Code Churn in Performance-Critical Paths</t>
  </si>
  <si>
    <t>Churn Score (Performance Modules)</t>
  </si>
  <si>
    <t>Measures rate of change in performance-critical modules — high churn in hot paths increases regression risk for latency and throughput.</t>
  </si>
  <si>
    <t>pydriller / git log</t>
  </si>
  <si>
    <t>(lines_added + lines_deleted) / total_LOC over rolling_window</t>
  </si>
  <si>
    <t>Static Git Analysis</t>
  </si>
  <si>
    <t>Git history for files tagged as performance-critical</t>
  </si>
  <si>
    <t>Perf Churn Score = Churn% × Performance_Module_Weight</t>
  </si>
  <si>
    <t>&lt; 20% churn rate per sprint in performance-critical modules</t>
  </si>
  <si>
    <t>MAX(0, 100 – (Perf_Churn% × 3))</t>
  </si>
  <si>
    <t>Test Coverage</t>
  </si>
  <si>
    <t>Performance Test Code Coverage</t>
  </si>
  <si>
    <t>Performance Test Coverage %</t>
  </si>
  <si>
    <t>% of performance-critical code paths covered by dedicated performance/load test scripts — ensures regressions are detectable.</t>
  </si>
  <si>
    <t>(performance_covered_lines / total_performance_critical_lines) * 100</t>
  </si>
  <si>
    <t>Istanbul (nyc)</t>
  </si>
  <si>
    <t>Static Coverage Report</t>
  </si>
  <si>
    <t>Coverage report artifacts (.json, .xml)</t>
  </si>
  <si>
    <t>Perf Coverage % = (Perf-Critical Lines Covered / Total Perf-Critical Lines) × 100</t>
  </si>
  <si>
    <t>&gt;= 70% of performance-critical paths covered by load tests</t>
  </si>
  <si>
    <t>Score = Perf_Coverage % [gate at 70%]</t>
  </si>
  <si>
    <t>COMPLIANCE TESTING — API Service Validation (Dynamic / URL-Based)</t>
  </si>
  <si>
    <t>OWASP · PCI-DSS (Retail) · FERPA/COPPA (EdTech) · GDPR · SOC 2 | BRD §12   |   All tests require a RUNNING application / live endpoint</t>
  </si>
  <si>
    <t>▶  OWASP TOP 10 — Web Application Security Testing</t>
  </si>
  <si>
    <t>Compliance Testing</t>
  </si>
  <si>
    <t>Dynamic scan of running application to identify OWASP Top 10 vulnerabilities: injection, broken auth, SSRF, insecure design, etc.</t>
  </si>
  <si>
    <t>ZAP Attack Proxy (OWASP)</t>
  </si>
  <si>
    <t>count(risk == 'High')</t>
  </si>
  <si>
    <t>Targeted dynamic testing for SQL injection vulnerabilities in all user-input paths and API parameters.</t>
  </si>
  <si>
    <t>CWE-89 / CWE-564 — count(cweid in (89,564) OR alert contains SQLi keywords)</t>
  </si>
  <si>
    <t>Dynamic testing for Cross-Site Scripting vulnerabilities in all reflected, stored, and DOM-based injection points.</t>
  </si>
  <si>
    <t>CWE-79 / CWE-83 — count(cweid in (79,83) OR alert contains 'xss','cross site scripting','reflected xss','stored xss')</t>
  </si>
  <si>
    <t>Tests for broken access control vulnerabilities — horizontal/vertical privilege escalation, IDOR, missing function-level access control.</t>
  </si>
  <si>
    <t>▶  PCI-DSS COMPLIANCE — Retail Payment Security</t>
  </si>
  <si>
    <t>Detects unmasked or improperly transmitted cardholder data (PAN, track data, sensitive authentication data) in runtime HTTP/network traffic, logs, or API payloads.</t>
  </si>
  <si>
    <t>count(alerts where response_body matches PAN_regex)</t>
  </si>
  <si>
    <t>TLS/Encryption Compliance</t>
  </si>
  <si>
    <t>Validates that all payment-related endpoints use TLS 1.2+ and strong cipher suites; no deprecated SSL/TLS versions.</t>
  </si>
  <si>
    <t>count(findings where protocol in [SSLv3, TLS1.0, TLS1.1] OR cipher_strength = 'weak')</t>
  </si>
  <si>
    <t>Tests for COPPA age-gate bypass vulnerabilities — ensures under-13 users cannot access restricted content without parental consent.</t>
  </si>
  <si>
    <t>Age_Gate_Bypass_Count = count(test_cases where underage_user_access == allowed)</t>
  </si>
  <si>
    <t>Validates that user data deletion requests (GDPR Art. 17 Right to Erasure) are fully executed across all storage layers.</t>
  </si>
  <si>
    <t>(deletion requests fully executed across all storage layers / total deletion requests) × 100</t>
  </si>
  <si>
    <t>Tests that no tracking cookies or analytics scripts load before explicit user consent is obtained.</t>
  </si>
  <si>
    <t>count(trackers detected before consent_event_fired)</t>
  </si>
  <si>
    <t>Dynamic Browser Scan</t>
  </si>
  <si>
    <t>▶  API SECURITY — Additional Compliance Metrics</t>
  </si>
  <si>
    <t>Identifies API endpoints accessible without a valid authentication token.</t>
  </si>
  <si>
    <t>count(endpoints returning 200 without Authorization header)</t>
  </si>
  <si>
    <t>Tests whether User A can access User B's resources via manipulated object references in API calls.</t>
  </si>
  <si>
    <t>count(requests where user_a accesses user_b_resource AND response == 200)</t>
  </si>
  <si>
    <t>Verifies all public-facing API endpoints enforce request rate limiting to prevent abuse and DDoS.</t>
  </si>
  <si>
    <t>count(endpoints where 429 not returned after threshold_requests)</t>
  </si>
  <si>
    <t>Checks that all API responses include required security headers: HSTS, X-Frame-Options, CSP, X-Content-Type.</t>
  </si>
  <si>
    <t>count(responses missing [Strict-Transport-Security, X-Frame-Options, Content-Security-Policy])</t>
  </si>
  <si>
    <t>Intercepts live API responses and detects PII (SSN, email, student ID) returned unnecessarily in payloads.</t>
  </si>
  <si>
    <t>count(responses where Presidio detects entity_type in [US_SSN, EMAIL_ADDRESS, PERSON, STUDENT_ID])</t>
  </si>
  <si>
    <t>Validates that sessions expire after the policy-defined idle period and tokens cannot be reused post-expiry.</t>
  </si>
  <si>
    <t>(sessions expired within policy window / total sessions tested) × 100</t>
  </si>
  <si>
    <t>▶  SOC 2 — Audit Readiness &amp; Security Controls</t>
  </si>
  <si>
    <t>% of SOC 2 Type II control evidence items collected and uploaded for audit period (access logs, change logs, test results, incident reports).</t>
  </si>
  <si>
    <t>(evidence items collected / total required control evidence items) × 100</t>
  </si>
  <si>
    <t>Yes — integrations</t>
  </si>
  <si>
    <t>Count of code changes merged without required review approvals, bypassing change control gates.</t>
  </si>
  <si>
    <t>GitHub (branch protection API)</t>
  </si>
  <si>
    <t>Yes — GitHub API</t>
  </si>
  <si>
    <t>PERFORMANCE TESTING — API Service Validation (Dynamic / URL-Based)</t>
  </si>
  <si>
    <t>Load · Stress · Latency · Reliability · Soak · Spike  |  All tests require a RUNNING application / live endpoint</t>
  </si>
  <si>
    <t>▶  LOAD &amp; STRESS TESTING — Throughput, Degradation, Baseline Regression</t>
  </si>
  <si>
    <t>Load Signal Delta</t>
  </si>
  <si>
    <t>Load Testing</t>
  </si>
  <si>
    <t>Throughput Under Load (RPS)</t>
  </si>
  <si>
    <t>Requests per second achieved under defined load profile vs target SLA throughput — validates system capacity at expected peak load.</t>
  </si>
  <si>
    <t>K6</t>
  </si>
  <si>
    <t>http_reqs</t>
  </si>
  <si>
    <t>JMeter (Apache)</t>
  </si>
  <si>
    <t>Gatling (OSS) / Locust (Python)</t>
  </si>
  <si>
    <t>Dynamic Load Test</t>
  </si>
  <si>
    <t>Throughput = Total Successful Requests / Test Duration (seconds)</t>
  </si>
  <si>
    <t>&gt;= target RPS with p95 latency within SLA threshold</t>
  </si>
  <si>
    <t>Score = MIN(100, (Achieved_RPS / Target_RPS) × 100)</t>
  </si>
  <si>
    <t>Stress Testing</t>
  </si>
  <si>
    <t>Peak Load Degradation %</t>
  </si>
  <si>
    <t>The load level at which system performance degrades below acceptable thresholds — identifies breaking point and measures response time increase under stress.</t>
  </si>
  <si>
    <t>((p95_stress – p95_baseline) / p95_baseline) × 100</t>
  </si>
  <si>
    <t>JMeter</t>
  </si>
  <si>
    <t>Locust (step load) / Gatling (open model)</t>
  </si>
  <si>
    <t>Dynamic Stress Test</t>
  </si>
  <si>
    <t>Degradation % = ((Latency_Under_Stress – Latency_Baseline) / Latency_Baseline) × 100</t>
  </si>
  <si>
    <t>Degradation &lt; 20% response time increase at 2× expected peak load</t>
  </si>
  <si>
    <t>MAX(0, 100 – Degradation%) [each % = –1 pt]</t>
  </si>
  <si>
    <t>Baseline Comparison Testing</t>
  </si>
  <si>
    <t>Performance Regression Delta %</t>
  </si>
  <si>
    <t>% change in p95 response time between current build and established performance baseline — detects regressions introduced by code changes.</t>
  </si>
  <si>
    <t>((p95_current – p95_baseline) / p95_baseline) × 100</t>
  </si>
  <si>
    <t>Gatling reports / Locust HTML report with history</t>
  </si>
  <si>
    <t>Dynamic Baseline Test</t>
  </si>
  <si>
    <t>Regression Delta = ((p95_Current – p95_Baseline) / p95_Baseline) × 100</t>
  </si>
  <si>
    <t>&lt; 10% regression from baseline (delta &lt;= 10%)</t>
  </si>
  <si>
    <t>MAX(0, 100 – (Regression_Delta × 5)) [each 1% = –5 pts]</t>
  </si>
  <si>
    <t>Concurrency Testing</t>
  </si>
  <si>
    <t>Max Concurrent Users (VU)</t>
  </si>
  <si>
    <t>Maximum number of virtual users the system can handle simultaneously while maintaining response times within SLA — measures horizontal scalability.</t>
  </si>
  <si>
    <t>vus_max</t>
  </si>
  <si>
    <t>Gatling</t>
  </si>
  <si>
    <t>Max VU = Peak concurrent users at which p95 latency breaches SLA threshold</t>
  </si>
  <si>
    <t>&gt;= defined VU target (domain-specific SLA e.g. 1000 VU for web API)</t>
  </si>
  <si>
    <t>Score = MIN(100, (Achieved_VU / Target_VU) × 100)</t>
  </si>
  <si>
    <t>▶  RELIABILITY &amp; LATENCY — Error Rate, p95/p99, Response Consistency</t>
  </si>
  <si>
    <t>Reliability Testing</t>
  </si>
  <si>
    <t>Error State Stability</t>
  </si>
  <si>
    <t>Error Rate Monitoring</t>
  </si>
  <si>
    <t>4xx/5xx Error Rate %</t>
  </si>
  <si>
    <t>% of HTTP requests returning 4xx or 5xx status codes during test run — measures system stability under load.</t>
  </si>
  <si>
    <t>http_req_failed</t>
  </si>
  <si>
    <t>Locust / Prometheus + Grafana / Newman</t>
  </si>
  <si>
    <t>Dynamic Reliability Test</t>
  </si>
  <si>
    <t>Error Rate = (4xx + 5xx Responses / Total Responses) × 100</t>
  </si>
  <si>
    <t>&lt; 1% error rate per build; 0 SLA breaches per sprint</t>
  </si>
  <si>
    <t>MAX(0, 100 – (Error_Rate × 20)) [5% = 0 pts]</t>
  </si>
  <si>
    <t>Latency Consistency</t>
  </si>
  <si>
    <t>p95 Latency Testing</t>
  </si>
  <si>
    <t>p95 Response Time (ms)</t>
  </si>
  <si>
    <t>95th percentile response time during load test — captures tail latency invisible in averages; critical for real user experience.</t>
  </si>
  <si>
    <t>p(95)</t>
  </si>
  <si>
    <t>Gatling / Locust / Apache JMeter</t>
  </si>
  <si>
    <t>p95 = 95th percentile of response time distribution from load test</t>
  </si>
  <si>
    <t>p95 &lt;= defined SLA (&lt; 500ms web APIs; &lt; 200ms search/browse)</t>
  </si>
  <si>
    <t>MAX(0, 100 – ((p95_ms – SLA_ms) / SLA_ms × 100))</t>
  </si>
  <si>
    <t>p99 Latency Testing</t>
  </si>
  <si>
    <t>p99 Response Time (ms)</t>
  </si>
  <si>
    <t>99th percentile response time — extreme tail latency; identifies outlier request handling issues affecting the worst-off 1% of users.</t>
  </si>
  <si>
    <t>p(99)</t>
  </si>
  <si>
    <t>Gatling / Locust / Jaeger</t>
  </si>
  <si>
    <t>p99 = 99th percentile of response time distribution from load test</t>
  </si>
  <si>
    <t>p99 &lt;= 2× p95 SLA (signals no extreme outlier spikes)</t>
  </si>
  <si>
    <t>MAX(0, 100 – ((p99_ms – 2×SLA_ms) / SLA_ms × 100))</t>
  </si>
  <si>
    <t>Mean Response Time Monitoring</t>
  </si>
  <si>
    <t>Mean Response Time (ms)</t>
  </si>
  <si>
    <t>Average response time across all requests during load test — baseline latency metric for tracking improvement trends over time.</t>
  </si>
  <si>
    <t>http_req_duration{avg}</t>
  </si>
  <si>
    <t>Mean RT = sum(response_times) / count(requests)</t>
  </si>
  <si>
    <t>Mean RT &lt;= 50% of p95 SLA (healthy distribution)</t>
  </si>
  <si>
    <t>MAX(0, 100 – ((Mean_ms – (SLA_ms × 0.5)) / (SLA_ms × 0.5) × 100))</t>
  </si>
  <si>
    <t>Throughput Consistency</t>
  </si>
  <si>
    <t>Request Success Rate</t>
  </si>
  <si>
    <t>Successful Request Rate %</t>
  </si>
  <si>
    <t>% of all requests completing successfully (2xx responses) under the defined load profile — direct measure of system reliability under pressure.</t>
  </si>
  <si>
    <t>http_req_failed (inverted)</t>
  </si>
  <si>
    <t>Gatling / Locust</t>
  </si>
  <si>
    <t>Success Rate = (2xx Responses / Total Requests) × 100</t>
  </si>
  <si>
    <t>&gt;= 99% successful request rate under target load profile</t>
  </si>
  <si>
    <t>Score = Success_Rate % [gate at 99%]</t>
  </si>
  <si>
    <t>▶  SOAK &amp; SPIKE TESTING — Endurance, Memory, Traffic Surge</t>
  </si>
  <si>
    <t>Endurance Testing</t>
  </si>
  <si>
    <t>Soak Testing</t>
  </si>
  <si>
    <t>Memory Leak Score</t>
  </si>
  <si>
    <t>Monitors memory usage during extended load run (2–8 hrs) to detect memory leaks and gradual resource degradation under sustained traffic.</t>
  </si>
  <si>
    <t>memory_leak_proxy_score</t>
  </si>
  <si>
    <t>Locust / Gatling / JVM heap profiling / memory_profiler (Python)</t>
  </si>
  <si>
    <t>Dynamic Soak Test</t>
  </si>
  <si>
    <t>Memory Growth % = ((Mem_End – Mem_Start) / Mem_Start) × 100</t>
  </si>
  <si>
    <t>&lt; 10% memory growth over soak test duration; no OOM events</t>
  </si>
  <si>
    <t>MAX(0, 100 – (Memory_Growth% × 5)) [20% = 0 pts]</t>
  </si>
  <si>
    <t>CPU Utilisation Monitoring</t>
  </si>
  <si>
    <t>Average CPU Utilisation % (Soak)</t>
  </si>
  <si>
    <t>Average CPU utilisation across all application instances during extended soak test — detects CPU leaks and runaway thread consumption over time.</t>
  </si>
  <si>
    <t>K6 + Prometheus</t>
  </si>
  <si>
    <t>avg(cpu_usage_percent) over soak_duration</t>
  </si>
  <si>
    <t>JMeter + Grafana</t>
  </si>
  <si>
    <t>Locust + cAdvisor</t>
  </si>
  <si>
    <t>CPU Utilisation = avg(cpu_percent) over test_window</t>
  </si>
  <si>
    <t>Average CPU &lt; 70% sustained; no spikes &gt; 90% during soak</t>
  </si>
  <si>
    <t>MAX(0, 100 – ((avg_cpu – 70) × 3))</t>
  </si>
  <si>
    <t>Spike Testing</t>
  </si>
  <si>
    <t>Traffic Surge Handling</t>
  </si>
  <si>
    <t>Spike Recovery Time (s)</t>
  </si>
  <si>
    <t>Time taken for the system to recover to normal response times after a sudden traffic spike — measures autoscaling effectiveness and resilience.</t>
  </si>
  <si>
    <t>spike_recovery_time_s</t>
  </si>
  <si>
    <t>Locust (step load) / Gatling (closed model)</t>
  </si>
  <si>
    <t>Dynamic Spike Test</t>
  </si>
  <si>
    <t>Recovery Time = Time from spike end to when p95 returns to baseline ± 10%</t>
  </si>
  <si>
    <t>Recovery within 30 seconds after spike subsides; 0 errors during spike</t>
  </si>
  <si>
    <t>MAX(0, 100 – (Recovery_Seconds × 2)) [50s = 0 pts]</t>
  </si>
  <si>
    <t>Error Rate During Spike</t>
  </si>
  <si>
    <t>Spike Error Rate %</t>
  </si>
  <si>
    <t>% of requests failing (4xx/5xx) during the spike phase — measures graceful degradation capability when the system is overwhelmed.</t>
  </si>
  <si>
    <t>http_req_failed (spike phase)</t>
  </si>
  <si>
    <t>Locust</t>
  </si>
  <si>
    <t>Spike Error Rate = (Failed Requests During Spike / Total Spike Requests) × 100</t>
  </si>
  <si>
    <t>&lt; 5% error rate during spike; recovers to &lt; 1% within 30s</t>
  </si>
  <si>
    <t>MAX(0, 100 – (Spike_Error_Rate × 10))</t>
  </si>
  <si>
    <t>▶  API PERFORMANCE — Endpoint-Level Latency &amp; Throughput</t>
  </si>
  <si>
    <t>API Performance</t>
  </si>
  <si>
    <t>Endpoint Latency Profiling</t>
  </si>
  <si>
    <t>Slowest Endpoint Detection</t>
  </si>
  <si>
    <t>Top-N Slowest Endpoints (p95 ms)</t>
  </si>
  <si>
    <t>Identifies the slowest API endpoints by p95 latency — pinpoints where optimisation effort delivers the highest user experience improvement.</t>
  </si>
  <si>
    <t>http_req_duration grouped by URL</t>
  </si>
  <si>
    <t>Jaeger / OpenTelemetry</t>
  </si>
  <si>
    <t>Endpoint Latency = p95(response_time) per unique endpoint</t>
  </si>
  <si>
    <t>No endpoint &gt; 2× average p95 latency; 0 endpoints breaching SLA</t>
  </si>
  <si>
    <t>MAX(0, 100 – (Count(SLA_Breaching_Endpoints) × 15))</t>
  </si>
  <si>
    <t>Connection Management</t>
  </si>
  <si>
    <t>Connection Pool Exhaustion Testing</t>
  </si>
  <si>
    <t>Connection Pool Saturation %</t>
  </si>
  <si>
    <t>Measures database and HTTP connection pool utilisation under load — pool exhaustion causes queuing, timeout errors, and cascading failures.</t>
  </si>
  <si>
    <t>K6 + DB metrics</t>
  </si>
  <si>
    <t>(active_connections / pool_max_connections) × 100</t>
  </si>
  <si>
    <t>JMeter + Prometheus</t>
  </si>
  <si>
    <t>Grafana</t>
  </si>
  <si>
    <t>Saturation % = (Peak Active Connections / Max Pool Size) × 100</t>
  </si>
  <si>
    <t>&lt; 80% connection pool saturation at target load; 0 pool exhaustion events</t>
  </si>
  <si>
    <t>MAX(0, 100 – ((Saturation – 80) × 5))</t>
  </si>
  <si>
    <t>Caching Effectiveness</t>
  </si>
  <si>
    <t>Cache Hit Rate Testing</t>
  </si>
  <si>
    <t>Cache Hit Rate %</t>
  </si>
  <si>
    <t>% of requests served from cache vs origin — low cache hit rates increase backend load, latency, and infrastructure cost under production traffic.</t>
  </si>
  <si>
    <t>K6 + Redis metrics</t>
  </si>
  <si>
    <t>(cache_hits / (cache_hits + cache_misses)) × 100</t>
  </si>
  <si>
    <t>Grafana + cAdvisor</t>
  </si>
  <si>
    <t>Cache Hit Rate = (Cache Hits / Total Requests) × 100</t>
  </si>
  <si>
    <t>&gt;= 80% cache hit rate for cacheable endpoint categories</t>
  </si>
  <si>
    <t>Score = Cache_Hit_Rate % [gate at 80%]</t>
  </si>
  <si>
    <t>COMPLIANCE TESTING — Repository Code Validation (Static / No Live App Needed)</t>
  </si>
  <si>
    <t>OWASP · PCI-DSS (Retail) · FERPA/COPPA (EdTech) · GDPR · SOC 2 | BRD §12   |   All tests run against source code, config files, git history, or dependency manifests</t>
  </si>
  <si>
    <t>Hardcoded Secret Scan</t>
  </si>
  <si>
    <t>Scans git history and source files for API keys, tokens, passwords, private keys, and certificates committed to the repository.</t>
  </si>
  <si>
    <t>Gitleaks / Trufflehog</t>
  </si>
  <si>
    <t>count(findings where entropy &gt; threshold OR matches secret_regex)</t>
  </si>
  <si>
    <t>Git history, source files</t>
  </si>
  <si>
    <t>Counts number of secret commits blocked by pre-commit hook before reaching remote repository.</t>
  </si>
  <si>
    <t>detect-secrets / Gitleaks</t>
  </si>
  <si>
    <t>▶  PII &amp; SENSITIVE DATA IN SOURCE CODE</t>
  </si>
  <si>
    <t>PII in Codebase Detection</t>
  </si>
  <si>
    <t>PII in Codebase Count</t>
  </si>
  <si>
    <t>Scans source files and test fixtures for hardcoded PII — SSN, student IDs, email addresses, grade data — in violation of FERPA.</t>
  </si>
  <si>
    <t>Microsoft Presidio (fed files)</t>
  </si>
  <si>
    <t>count(findings where entity_type in [US_SSN, EMAIL_ADDRESS, PERSON, STUDENT_ID] AND source in [codebase, test_fixtures])</t>
  </si>
  <si>
    <t>Static PII Scan</t>
  </si>
  <si>
    <t>Source files, test data, fixtures</t>
  </si>
  <si>
    <t>PII Logging Detection</t>
  </si>
  <si>
    <t>PII in Log Statements</t>
  </si>
  <si>
    <t>PII Log Statement Count</t>
  </si>
  <si>
    <t>Detects log statements that print sensitive fields (SSN, email, PAN) — risks PII ending up in log files.</t>
  </si>
  <si>
    <t>Semgrep (custom rules)</t>
  </si>
  <si>
    <t>count(log_statements where argument matches PII_field_names [ssn, email, pan, password, dob])</t>
  </si>
  <si>
    <t>Static SAST</t>
  </si>
  <si>
    <t>▶  INFRASTRUCTURE AS CODE (IaC) SCANNING</t>
  </si>
  <si>
    <t>IaC Security Scanning</t>
  </si>
  <si>
    <t>Open Firewall Rule Count (IaC)</t>
  </si>
  <si>
    <t>Detects Terraform/CloudFormation resources defining security groups open to 0.0.0.0/0 on sensitive ports.</t>
  </si>
  <si>
    <t>count(resources where ingress_cidr == '0.0.0.0/0' AND port not in [80, 443])</t>
  </si>
  <si>
    <t>Unencrypted Storage Count (IaC)</t>
  </si>
  <si>
    <t>Identifies RDS, S3, EBS, or GCS resources defined in IaC without encryption-at-rest enabled.</t>
  </si>
  <si>
    <t>Public Storage Bucket Count (IaC)</t>
  </si>
  <si>
    <t>Detects S3 buckets or GCS buckets defined in IaC with public access enabled.</t>
  </si>
  <si>
    <t>CIS Benchmark Violation Count (IaC)</t>
  </si>
  <si>
    <t>Measures percentage of IaC configurations meeting CIS Benchmark baseline controls for AWS/GCP/Azure.</t>
  </si>
  <si>
    <t>count(checks failed against CIS benchmark ruleset) / total_checks × 100</t>
  </si>
  <si>
    <t>All IaC files in repo</t>
  </si>
  <si>
    <t>Secret Management</t>
  </si>
  <si>
    <t>Secrets in Repo History</t>
  </si>
  <si>
    <t>Full git history scan for secrets that may have been committed and later deleted — still present in git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</si>
</sst>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6"/>
      <color rgb="FFFFFFFF"/>
      <name val="Arial"/>
      <family val="2"/>
    </font>
    <font>
      <i/>
      <sz val="10"/>
      <color rgb="FFFFFFFF"/>
      <name val="Arial"/>
      <family val="2"/>
    </font>
    <font>
      <b/>
      <sz val="11"/>
      <color rgb="FFFFFFFF"/>
      <name val="Arial"/>
      <family val="2"/>
    </font>
    <font>
      <b/>
      <sz val="10"/>
      <color rgb="FF000000"/>
      <name val="Arial"/>
      <family val="2"/>
    </font>
    <font>
      <sz val="10"/>
      <color rgb="FF000000"/>
      <name val="Arial"/>
      <family val="2"/>
    </font>
    <font>
      <b/>
      <sz val="9"/>
      <color rgb="FF000000"/>
      <name val="Arial"/>
      <family val="2"/>
    </font>
    <font>
      <sz val="9"/>
      <color rgb="FF000000"/>
      <name val="Arial"/>
      <family val="2"/>
    </font>
    <font>
      <b/>
      <sz val="14"/>
      <color rgb="FFFFFFFF"/>
      <name val="Arial"/>
      <family val="2"/>
    </font>
    <font>
      <i/>
      <sz val="9"/>
      <color rgb="FFFFFFFF"/>
      <name val="Arial"/>
      <family val="2"/>
    </font>
    <font>
      <b/>
      <sz val="9"/>
      <color rgb="FFFFFFFF"/>
      <name val="Arial"/>
      <family val="2"/>
    </font>
    <font>
      <b/>
      <sz val="12"/>
      <color rgb="FFFFFFFF"/>
      <name val="Arial"/>
      <family val="2"/>
    </font>
    <font>
      <b/>
      <sz val="10"/>
      <color rgb="FFFFFFFF"/>
      <name val="Arial"/>
      <family val="2"/>
    </font>
    <font>
      <sz val="9"/>
      <name val="Arial"/>
      <family val="2"/>
    </font>
    <font>
      <sz val="11"/>
      <color rgb="FF000000"/>
      <name val="Calibri"/>
      <family val="2"/>
    </font>
    <font>
      <b/>
      <sz val="13"/>
      <color rgb="FFFFFFFF"/>
      <name val="Arial"/>
      <family val="2"/>
    </font>
    <font>
      <sz val="10"/>
      <color rgb="FFFFFFFF"/>
      <name val="Arial"/>
      <family val="2"/>
    </font>
    <font>
      <u/>
      <sz val="11"/>
      <color theme="10"/>
      <name val="Calibri"/>
      <family val="2"/>
      <scheme val="minor"/>
    </font>
    <font>
      <sz val="9"/>
      <name val="Arial"/>
    </font>
    <font>
      <b/>
      <sz val="10"/>
      <color rgb="FFFFFFFF"/>
      <name val="Arial"/>
    </font>
  </fonts>
  <fills count="27">
    <fill>
      <patternFill patternType="none"/>
    </fill>
    <fill>
      <patternFill patternType="gray125"/>
    </fill>
    <fill>
      <patternFill patternType="solid">
        <fgColor rgb="FF2E5FA3"/>
      </patternFill>
    </fill>
    <fill>
      <patternFill patternType="solid">
        <fgColor rgb="FFD6E4F7"/>
      </patternFill>
    </fill>
    <fill>
      <patternFill patternType="solid">
        <fgColor rgb="FFFFFFFF"/>
      </patternFill>
    </fill>
    <fill>
      <patternFill patternType="solid">
        <fgColor rgb="FFE8F0FB"/>
      </patternFill>
    </fill>
    <fill>
      <patternFill patternType="solid">
        <fgColor rgb="FF7B5800"/>
      </patternFill>
    </fill>
    <fill>
      <patternFill patternType="solid">
        <fgColor rgb="FFF0F5FB"/>
      </patternFill>
    </fill>
    <fill>
      <patternFill patternType="solid">
        <fgColor rgb="FF1A4E8F"/>
      </patternFill>
    </fill>
    <fill>
      <patternFill patternType="solid">
        <fgColor rgb="FF7B1A1A"/>
      </patternFill>
    </fill>
    <fill>
      <patternFill patternType="solid">
        <fgColor rgb="FF1F3864"/>
      </patternFill>
    </fill>
    <fill>
      <patternFill patternType="solid">
        <fgColor rgb="FF1A7340"/>
      </patternFill>
    </fill>
    <fill>
      <patternFill patternType="solid">
        <fgColor rgb="FF2C4770"/>
      </patternFill>
    </fill>
    <fill>
      <patternFill patternType="solid">
        <fgColor rgb="FFF2F2F2"/>
      </patternFill>
    </fill>
    <fill>
      <patternFill patternType="solid">
        <fgColor rgb="FFFFFFFF"/>
        <bgColor rgb="FF000000"/>
      </patternFill>
    </fill>
    <fill>
      <patternFill patternType="solid">
        <fgColor rgb="FF1F3864"/>
        <bgColor rgb="FF2E4057"/>
      </patternFill>
    </fill>
    <fill>
      <patternFill patternType="solid">
        <fgColor rgb="FF2E4057"/>
        <bgColor rgb="FF1F3864"/>
      </patternFill>
    </fill>
    <fill>
      <patternFill patternType="solid">
        <fgColor rgb="FF8B0000"/>
        <bgColor rgb="FF800000"/>
      </patternFill>
    </fill>
    <fill>
      <patternFill patternType="solid">
        <fgColor rgb="FFF2F2F2"/>
        <bgColor rgb="FFEAF0FB"/>
      </patternFill>
    </fill>
    <fill>
      <patternFill patternType="solid">
        <fgColor rgb="FFEAF0FB"/>
        <bgColor rgb="FFF2F2F2"/>
      </patternFill>
    </fill>
    <fill>
      <patternFill patternType="solid">
        <fgColor rgb="FF1F4E3D"/>
        <bgColor rgb="FF2E4057"/>
      </patternFill>
    </fill>
    <fill>
      <patternFill patternType="solid">
        <fgColor rgb="FFC0392B"/>
      </patternFill>
    </fill>
    <fill>
      <patternFill patternType="solid">
        <fgColor rgb="FFFDE8E8"/>
      </patternFill>
    </fill>
    <fill>
      <patternFill patternType="solid">
        <fgColor rgb="FFE8F0FE"/>
      </patternFill>
    </fill>
    <fill>
      <patternFill patternType="solid">
        <fgColor rgb="FFFFFF00"/>
        <bgColor indexed="64"/>
      </patternFill>
    </fill>
    <fill>
      <patternFill patternType="solid">
        <fgColor theme="3" tint="0.79998168889431442"/>
        <bgColor indexed="64"/>
      </patternFill>
    </fill>
    <fill>
      <patternFill patternType="solid">
        <fgColor rgb="FFFF0000"/>
        <bgColor indexed="64"/>
      </patternFill>
    </fill>
  </fills>
  <borders count="15">
    <border>
      <left/>
      <right/>
      <top/>
      <bottom/>
      <diagonal/>
    </border>
    <border>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theme="2"/>
      </left>
      <right style="thin">
        <color theme="2"/>
      </right>
      <top style="thin">
        <color theme="2"/>
      </top>
      <bottom style="thin">
        <color theme="2"/>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diagonal/>
    </border>
    <border>
      <left style="thin">
        <color indexed="64"/>
      </left>
      <right style="thin">
        <color indexed="64"/>
      </right>
      <top style="thin">
        <color indexed="64"/>
      </top>
      <bottom style="thin">
        <color indexed="64"/>
      </bottom>
      <diagonal/>
    </border>
    <border>
      <left style="thin">
        <color rgb="FFCCCCCC"/>
      </left>
      <right/>
      <top/>
      <bottom/>
      <diagonal/>
    </border>
    <border>
      <left style="thin">
        <color rgb="FFCCCCCC"/>
      </left>
      <right/>
      <top style="thin">
        <color rgb="FFCCCCCC"/>
      </top>
      <bottom/>
      <diagonal/>
    </border>
    <border>
      <left style="thin">
        <color rgb="FFCCCCCC"/>
      </left>
      <right/>
      <top/>
      <bottom style="thin">
        <color rgb="FFCCCCCC"/>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17" fillId="0" borderId="0" applyNumberFormat="0" applyFill="0" applyBorder="0" applyAlignment="0" applyProtection="0"/>
  </cellStyleXfs>
  <cellXfs count="80">
    <xf numFmtId="0" fontId="0" fillId="0" borderId="0" xfId="0"/>
    <xf numFmtId="0" fontId="13" fillId="13" borderId="5" xfId="0" applyFont="1" applyFill="1" applyBorder="1" applyAlignment="1">
      <alignment horizontal="left" vertical="center" wrapText="1"/>
    </xf>
    <xf numFmtId="0" fontId="13" fillId="0" borderId="5" xfId="0" applyFont="1" applyBorder="1" applyAlignment="1">
      <alignment horizontal="left" vertical="center" wrapText="1"/>
    </xf>
    <xf numFmtId="0" fontId="12" fillId="12" borderId="6" xfId="0" applyFont="1" applyFill="1" applyBorder="1" applyAlignment="1">
      <alignment vertical="center"/>
    </xf>
    <xf numFmtId="0" fontId="12" fillId="11" borderId="4" xfId="0" applyFont="1" applyFill="1" applyBorder="1" applyAlignment="1">
      <alignment horizontal="center" vertical="center" wrapText="1"/>
    </xf>
    <xf numFmtId="0" fontId="12" fillId="11" borderId="7"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7" fillId="4" borderId="2" xfId="0" applyFont="1" applyFill="1" applyBorder="1" applyAlignment="1">
      <alignment horizontal="left" vertical="top" wrapText="1"/>
    </xf>
    <xf numFmtId="0" fontId="7" fillId="7" borderId="2" xfId="0" applyFont="1" applyFill="1" applyBorder="1" applyAlignment="1">
      <alignment horizontal="left" vertical="top" wrapText="1"/>
    </xf>
    <xf numFmtId="0" fontId="7" fillId="14" borderId="2" xfId="0" applyFont="1" applyFill="1" applyBorder="1" applyAlignment="1">
      <alignment horizontal="left" vertical="top" wrapText="1"/>
    </xf>
    <xf numFmtId="0" fontId="14" fillId="0" borderId="0" xfId="0" applyFont="1" applyAlignment="1">
      <alignment wrapText="1"/>
    </xf>
    <xf numFmtId="0" fontId="14" fillId="0" borderId="0" xfId="0" applyFont="1"/>
    <xf numFmtId="0" fontId="10" fillId="11" borderId="10" xfId="0" applyFont="1" applyFill="1" applyBorder="1" applyAlignment="1">
      <alignment horizontal="center" vertical="center" wrapText="1"/>
    </xf>
    <xf numFmtId="0" fontId="7" fillId="7" borderId="10" xfId="0" applyFont="1" applyFill="1" applyBorder="1" applyAlignment="1">
      <alignment horizontal="left" vertical="top" wrapText="1"/>
    </xf>
    <xf numFmtId="0" fontId="7" fillId="4" borderId="10" xfId="0" applyFont="1" applyFill="1" applyBorder="1" applyAlignment="1">
      <alignment horizontal="left" vertical="top" wrapText="1"/>
    </xf>
    <xf numFmtId="0" fontId="0" fillId="0" borderId="0" xfId="0" applyAlignment="1">
      <alignment wrapText="1"/>
    </xf>
    <xf numFmtId="0" fontId="13" fillId="0" borderId="0" xfId="0" applyFont="1" applyAlignment="1">
      <alignment horizontal="left" vertical="center" wrapText="1"/>
    </xf>
    <xf numFmtId="0" fontId="7" fillId="18" borderId="2" xfId="0" applyFont="1" applyFill="1" applyBorder="1" applyAlignment="1">
      <alignment horizontal="left" vertical="top" wrapText="1"/>
    </xf>
    <xf numFmtId="0" fontId="12" fillId="21" borderId="14" xfId="0" applyFont="1" applyFill="1" applyBorder="1" applyAlignment="1">
      <alignment horizontal="center" vertical="center" wrapText="1"/>
    </xf>
    <xf numFmtId="0" fontId="5" fillId="4" borderId="14" xfId="0" applyFont="1" applyFill="1" applyBorder="1" applyAlignment="1">
      <alignment horizontal="left" vertical="top" wrapText="1"/>
    </xf>
    <xf numFmtId="0" fontId="5" fillId="22" borderId="14" xfId="0" applyFont="1" applyFill="1" applyBorder="1" applyAlignment="1">
      <alignment horizontal="left" vertical="top" wrapText="1"/>
    </xf>
    <xf numFmtId="0" fontId="12" fillId="2" borderId="14" xfId="0" applyFont="1" applyFill="1" applyBorder="1" applyAlignment="1">
      <alignment horizontal="center" vertical="center" wrapText="1"/>
    </xf>
    <xf numFmtId="0" fontId="5" fillId="23" borderId="14" xfId="0" applyFont="1" applyFill="1" applyBorder="1" applyAlignment="1">
      <alignment horizontal="left" vertical="top" wrapText="1"/>
    </xf>
    <xf numFmtId="0" fontId="12" fillId="16" borderId="2" xfId="0" applyFont="1" applyFill="1" applyBorder="1" applyAlignment="1">
      <alignment horizontal="center" vertical="center" wrapText="1"/>
    </xf>
    <xf numFmtId="0" fontId="7" fillId="19" borderId="2" xfId="0" applyFont="1" applyFill="1" applyBorder="1" applyAlignment="1">
      <alignment horizontal="left" vertical="top" wrapText="1"/>
    </xf>
    <xf numFmtId="0" fontId="17" fillId="0" borderId="5" xfId="1" applyBorder="1" applyAlignment="1">
      <alignment horizontal="left" vertical="center" wrapText="1"/>
    </xf>
    <xf numFmtId="0" fontId="17" fillId="13" borderId="5" xfId="1" applyFill="1" applyBorder="1" applyAlignment="1">
      <alignment horizontal="left" vertical="center" wrapText="1"/>
    </xf>
    <xf numFmtId="0" fontId="13" fillId="24" borderId="5" xfId="0" applyFont="1" applyFill="1" applyBorder="1" applyAlignment="1">
      <alignment horizontal="left" vertical="center" wrapText="1"/>
    </xf>
    <xf numFmtId="0" fontId="13" fillId="25" borderId="5" xfId="0" applyFont="1" applyFill="1" applyBorder="1" applyAlignment="1">
      <alignment horizontal="left" vertical="center" wrapText="1"/>
    </xf>
    <xf numFmtId="0" fontId="19" fillId="12" borderId="6" xfId="0" applyFont="1" applyFill="1" applyBorder="1" applyAlignment="1">
      <alignment vertical="center"/>
    </xf>
    <xf numFmtId="0" fontId="18" fillId="26" borderId="5" xfId="0" applyFont="1" applyFill="1" applyBorder="1" applyAlignment="1">
      <alignment horizontal="left" vertical="center" wrapText="1"/>
    </xf>
    <xf numFmtId="0" fontId="18" fillId="13" borderId="5" xfId="0" applyFont="1" applyFill="1" applyBorder="1" applyAlignment="1">
      <alignment horizontal="left" vertical="center" wrapText="1"/>
    </xf>
    <xf numFmtId="0" fontId="12" fillId="12" borderId="0" xfId="0" applyFont="1" applyFill="1" applyAlignment="1">
      <alignment horizontal="left" vertical="center"/>
    </xf>
    <xf numFmtId="0" fontId="19" fillId="12" borderId="0" xfId="0" applyFont="1" applyFill="1" applyAlignment="1">
      <alignment horizontal="left" vertical="center"/>
    </xf>
    <xf numFmtId="0" fontId="12" fillId="11" borderId="8" xfId="0" applyFont="1" applyFill="1" applyBorder="1" applyAlignment="1">
      <alignment horizontal="center" vertical="center" wrapText="1"/>
    </xf>
    <xf numFmtId="0" fontId="12" fillId="11" borderId="4" xfId="0" applyFont="1" applyFill="1" applyBorder="1" applyAlignment="1">
      <alignment horizontal="center" vertical="center" wrapText="1"/>
    </xf>
    <xf numFmtId="0" fontId="12" fillId="11" borderId="9" xfId="0" applyFont="1" applyFill="1" applyBorder="1" applyAlignment="1">
      <alignment horizontal="center" vertical="center" wrapText="1"/>
    </xf>
    <xf numFmtId="0" fontId="11" fillId="10" borderId="0" xfId="0" applyFont="1" applyFill="1" applyAlignment="1">
      <alignment horizontal="center" vertical="center" wrapText="1"/>
    </xf>
    <xf numFmtId="0" fontId="12" fillId="10" borderId="0" xfId="0" applyFont="1" applyFill="1" applyAlignment="1">
      <alignment horizontal="center" vertical="center" wrapText="1"/>
    </xf>
    <xf numFmtId="0" fontId="12" fillId="11" borderId="11" xfId="0" applyFont="1" applyFill="1" applyBorder="1" applyAlignment="1">
      <alignment horizontal="center" vertical="center" wrapText="1"/>
    </xf>
    <xf numFmtId="0" fontId="12" fillId="11" borderId="0" xfId="0" applyFont="1" applyFill="1" applyAlignment="1">
      <alignment horizontal="center" vertical="center" wrapText="1"/>
    </xf>
    <xf numFmtId="0" fontId="12" fillId="11" borderId="12" xfId="0" applyFont="1" applyFill="1" applyBorder="1" applyAlignment="1">
      <alignment horizontal="center" vertical="center" wrapText="1"/>
    </xf>
    <xf numFmtId="0" fontId="12" fillId="11" borderId="13" xfId="0" applyFont="1" applyFill="1" applyBorder="1" applyAlignment="1">
      <alignment horizontal="center" vertical="center" wrapText="1"/>
    </xf>
    <xf numFmtId="0" fontId="7" fillId="3"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6" fillId="3" borderId="2" xfId="0" applyFont="1" applyFill="1" applyBorder="1" applyAlignment="1">
      <alignment horizontal="left" vertical="center"/>
    </xf>
    <xf numFmtId="0" fontId="6" fillId="4" borderId="2" xfId="0" applyFont="1" applyFill="1" applyBorder="1" applyAlignment="1">
      <alignment horizontal="left" vertical="center"/>
    </xf>
    <xf numFmtId="0" fontId="3" fillId="10" borderId="0" xfId="0" applyFont="1" applyFill="1" applyAlignment="1">
      <alignment horizontal="center" vertical="center"/>
    </xf>
    <xf numFmtId="0" fontId="4" fillId="3" borderId="0" xfId="0" applyFont="1" applyFill="1" applyAlignment="1">
      <alignment horizontal="left" vertical="center"/>
    </xf>
    <xf numFmtId="0" fontId="7" fillId="5" borderId="2" xfId="0" applyFont="1" applyFill="1" applyBorder="1" applyAlignment="1">
      <alignment horizontal="left" vertical="center" wrapText="1"/>
    </xf>
    <xf numFmtId="0" fontId="6" fillId="5" borderId="2" xfId="0" applyFont="1" applyFill="1" applyBorder="1" applyAlignment="1">
      <alignment horizontal="left" vertical="center"/>
    </xf>
    <xf numFmtId="0" fontId="5" fillId="0" borderId="0" xfId="0" applyFont="1" applyAlignment="1">
      <alignment horizontal="left" vertical="center"/>
    </xf>
    <xf numFmtId="0" fontId="3" fillId="2" borderId="0" xfId="0" applyFont="1" applyFill="1" applyAlignment="1">
      <alignment horizontal="center" vertical="center"/>
    </xf>
    <xf numFmtId="0" fontId="1" fillId="10" borderId="0" xfId="0" applyFont="1" applyFill="1" applyAlignment="1">
      <alignment horizontal="center" vertical="center"/>
    </xf>
    <xf numFmtId="0" fontId="2" fillId="2" borderId="0" xfId="0" applyFont="1" applyFill="1" applyAlignment="1">
      <alignment horizontal="center" vertical="center"/>
    </xf>
    <xf numFmtId="0" fontId="10" fillId="8" borderId="0" xfId="0" applyFont="1" applyFill="1" applyAlignment="1">
      <alignment horizontal="left" vertical="center"/>
    </xf>
    <xf numFmtId="0" fontId="9" fillId="2" borderId="0" xfId="0" applyFont="1" applyFill="1" applyAlignment="1">
      <alignment horizontal="center" vertical="center"/>
    </xf>
    <xf numFmtId="0" fontId="8" fillId="10" borderId="0" xfId="0" applyFont="1" applyFill="1" applyAlignment="1">
      <alignment horizontal="center" vertical="center"/>
    </xf>
    <xf numFmtId="0" fontId="12" fillId="9" borderId="0" xfId="0" applyFont="1" applyFill="1" applyAlignment="1">
      <alignment horizontal="left" vertical="center"/>
    </xf>
    <xf numFmtId="0" fontId="11" fillId="9" borderId="0" xfId="0" applyFont="1" applyFill="1" applyAlignment="1">
      <alignment horizontal="left" vertical="center"/>
    </xf>
    <xf numFmtId="0" fontId="16" fillId="21" borderId="0" xfId="0" applyFont="1" applyFill="1" applyAlignment="1">
      <alignment horizontal="left" vertical="center"/>
    </xf>
    <xf numFmtId="0" fontId="8" fillId="10" borderId="10" xfId="0" applyFont="1" applyFill="1" applyBorder="1" applyAlignment="1">
      <alignment horizontal="center" vertical="center"/>
    </xf>
    <xf numFmtId="0" fontId="9" fillId="2" borderId="10" xfId="0" applyFont="1" applyFill="1" applyBorder="1" applyAlignment="1">
      <alignment horizontal="center" vertical="center"/>
    </xf>
    <xf numFmtId="0" fontId="10" fillId="9" borderId="10" xfId="0" applyFont="1" applyFill="1" applyBorder="1" applyAlignment="1">
      <alignment horizontal="left" vertical="center"/>
    </xf>
    <xf numFmtId="0" fontId="11" fillId="10" borderId="0" xfId="0" applyFont="1" applyFill="1" applyAlignment="1">
      <alignment horizontal="left" vertical="center"/>
    </xf>
    <xf numFmtId="0" fontId="16" fillId="2" borderId="0" xfId="0" applyFont="1" applyFill="1" applyAlignment="1">
      <alignment horizontal="left" vertical="center"/>
    </xf>
    <xf numFmtId="0" fontId="12" fillId="10" borderId="0" xfId="0" applyFont="1" applyFill="1" applyAlignment="1">
      <alignment horizontal="left" vertical="center"/>
    </xf>
    <xf numFmtId="0" fontId="12" fillId="17" borderId="8" xfId="0" applyFont="1" applyFill="1" applyBorder="1" applyAlignment="1">
      <alignment horizontal="left" vertical="center"/>
    </xf>
    <xf numFmtId="0" fontId="15" fillId="15" borderId="0" xfId="0" applyFont="1" applyFill="1" applyAlignment="1">
      <alignment horizontal="center" vertical="center"/>
    </xf>
    <xf numFmtId="0" fontId="9" fillId="16" borderId="0" xfId="0" applyFont="1" applyFill="1" applyAlignment="1">
      <alignment horizontal="center" vertical="center"/>
    </xf>
    <xf numFmtId="0" fontId="12" fillId="20" borderId="8" xfId="0" applyFont="1" applyFill="1" applyBorder="1" applyAlignment="1">
      <alignment horizontal="left" vertical="center"/>
    </xf>
    <xf numFmtId="0" fontId="15" fillId="20" borderId="0" xfId="0" applyFont="1" applyFill="1" applyAlignment="1">
      <alignment horizontal="center" vertical="center"/>
    </xf>
    <xf numFmtId="0" fontId="0" fillId="0" borderId="0" xfId="0" applyAlignment="1"/>
    <xf numFmtId="0" fontId="0" fillId="0" borderId="1" xfId="0" applyBorder="1" applyAlignment="1"/>
    <xf numFmtId="0" fontId="0" fillId="0" borderId="4" xfId="0" applyBorder="1" applyAlignment="1"/>
    <xf numFmtId="0" fontId="0" fillId="0" borderId="3" xfId="0" applyBorder="1" applyAlignment="1"/>
    <xf numFmtId="0" fontId="0" fillId="0" borderId="10" xfId="0"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github.com/dependency-check/DependencyCheck" TargetMode="External"/><Relationship Id="rId299" Type="http://schemas.openxmlformats.org/officeDocument/2006/relationships/hyperlink" Target="https://github.com/pypa/pip-audit?utm_source=chatgpt.com" TargetMode="External"/><Relationship Id="rId21" Type="http://schemas.openxmlformats.org/officeDocument/2006/relationships/hyperlink" Target="https://github.com/stryker-mutator/stryker-net" TargetMode="External"/><Relationship Id="rId63" Type="http://schemas.openxmlformats.org/officeDocument/2006/relationships/hyperlink" Target="https://github.com/mauricioaniche/ck" TargetMode="External"/><Relationship Id="rId159" Type="http://schemas.openxmlformats.org/officeDocument/2006/relationships/hyperlink" Target="https://github.com/mochajs/mocha" TargetMode="External"/><Relationship Id="rId324" Type="http://schemas.openxmlformats.org/officeDocument/2006/relationships/hyperlink" Target="https://github.com/jacoco/jacoco" TargetMode="External"/><Relationship Id="rId366" Type="http://schemas.openxmlformats.org/officeDocument/2006/relationships/hyperlink" Target="https://github.com/google/osv-scanner" TargetMode="External"/><Relationship Id="rId170" Type="http://schemas.openxmlformats.org/officeDocument/2006/relationships/hyperlink" Target="https://github.com/mochajs/mocha" TargetMode="External"/><Relationship Id="rId226" Type="http://schemas.openxmlformats.org/officeDocument/2006/relationships/hyperlink" Target="https://github.com/coveragepy/coveragepy" TargetMode="External"/><Relationship Id="rId268" Type="http://schemas.openxmlformats.org/officeDocument/2006/relationships/hyperlink" Target="https://github.com/istanbuljs/nyc" TargetMode="External"/><Relationship Id="rId32" Type="http://schemas.openxmlformats.org/officeDocument/2006/relationships/hyperlink" Target="https://github.com/eslint-community/eslint-plugin-security" TargetMode="External"/><Relationship Id="rId74" Type="http://schemas.openxmlformats.org/officeDocument/2006/relationships/hyperlink" Target="https://github.com/pmd/pmd" TargetMode="External"/><Relationship Id="rId128" Type="http://schemas.openxmlformats.org/officeDocument/2006/relationships/hyperlink" Target="https://github.com/spotbugs/spotbugs" TargetMode="External"/><Relationship Id="rId335" Type="http://schemas.openxmlformats.org/officeDocument/2006/relationships/hyperlink" Target="https://github.com/jacoco/jacoco" TargetMode="External"/><Relationship Id="rId5" Type="http://schemas.openxmlformats.org/officeDocument/2006/relationships/hyperlink" Target="https://github.com/kucherenko/jscpd" TargetMode="External"/><Relationship Id="rId181" Type="http://schemas.openxmlformats.org/officeDocument/2006/relationships/hyperlink" Target="https://github.com/biomejs/biome" TargetMode="External"/><Relationship Id="rId237" Type="http://schemas.openxmlformats.org/officeDocument/2006/relationships/hyperlink" Target="https://github.com/coveragepy/coveragepy" TargetMode="External"/><Relationship Id="rId279" Type="http://schemas.openxmlformats.org/officeDocument/2006/relationships/hyperlink" Target="https://github.com/pylint-dev/pylint" TargetMode="External"/><Relationship Id="rId43" Type="http://schemas.openxmlformats.org/officeDocument/2006/relationships/hyperlink" Target="https://github.com/eslint/eslint" TargetMode="External"/><Relationship Id="rId139" Type="http://schemas.openxmlformats.org/officeDocument/2006/relationships/hyperlink" Target="https://github.com/jacoco/jacoco" TargetMode="External"/><Relationship Id="rId290" Type="http://schemas.openxmlformats.org/officeDocument/2006/relationships/hyperlink" Target="https://github.com/PyCQA/bandit" TargetMode="External"/><Relationship Id="rId304" Type="http://schemas.openxmlformats.org/officeDocument/2006/relationships/hyperlink" Target="https://github.com/sixty-north/cosmic-ray?utm_source=chatgpt.com" TargetMode="External"/><Relationship Id="rId346" Type="http://schemas.openxmlformats.org/officeDocument/2006/relationships/hyperlink" Target="https://github.com/jacoco/jacoco" TargetMode="External"/><Relationship Id="rId85" Type="http://schemas.openxmlformats.org/officeDocument/2006/relationships/hyperlink" Target="https://github.com/checkstyle/checkstyle" TargetMode="External"/><Relationship Id="rId150" Type="http://schemas.openxmlformats.org/officeDocument/2006/relationships/hyperlink" Target="https://github.com/terryyin/lizard" TargetMode="External"/><Relationship Id="rId192" Type="http://schemas.openxmlformats.org/officeDocument/2006/relationships/hyperlink" Target="https://github.com/stryker-mutator/stryker-js" TargetMode="External"/><Relationship Id="rId206" Type="http://schemas.openxmlformats.org/officeDocument/2006/relationships/hyperlink" Target="https://github.com/vitest-dev/vitest" TargetMode="External"/><Relationship Id="rId248" Type="http://schemas.openxmlformats.org/officeDocument/2006/relationships/hyperlink" Target="https://github.com/coveragepy/coveragepy" TargetMode="External"/><Relationship Id="rId12" Type="http://schemas.openxmlformats.org/officeDocument/2006/relationships/hyperlink" Target="https://github.com/coverlet-coverage/coverlet" TargetMode="External"/><Relationship Id="rId108" Type="http://schemas.openxmlformats.org/officeDocument/2006/relationships/hyperlink" Target="https://github.com/ishepard/pydriller" TargetMode="External"/><Relationship Id="rId315" Type="http://schemas.openxmlformats.org/officeDocument/2006/relationships/hyperlink" Target="https://github.com/ishepard/pydriller?utm_source=chatgpt.com" TargetMode="External"/><Relationship Id="rId357" Type="http://schemas.openxmlformats.org/officeDocument/2006/relationships/hyperlink" Target="https://github.com/dubzzz/fast-check" TargetMode="External"/><Relationship Id="rId54" Type="http://schemas.openxmlformats.org/officeDocument/2006/relationships/hyperlink" Target="https://github.com/eslint-community/eslint-plugin-security" TargetMode="External"/><Relationship Id="rId96" Type="http://schemas.openxmlformats.org/officeDocument/2006/relationships/hyperlink" Target="https://github.com/istanbuljs/nyc" TargetMode="External"/><Relationship Id="rId161" Type="http://schemas.openxmlformats.org/officeDocument/2006/relationships/hyperlink" Target="https://github.com/SonarSource/SonarJS" TargetMode="External"/><Relationship Id="rId217" Type="http://schemas.openxmlformats.org/officeDocument/2006/relationships/hyperlink" Target="https://github.com/coveragepy/coveragepy" TargetMode="External"/><Relationship Id="rId259" Type="http://schemas.openxmlformats.org/officeDocument/2006/relationships/hyperlink" Target="https://github.com/istanbuljs/nyc" TargetMode="External"/><Relationship Id="rId23" Type="http://schemas.openxmlformats.org/officeDocument/2006/relationships/hyperlink" Target="https://github.com/ishepard/pydriller" TargetMode="External"/><Relationship Id="rId119" Type="http://schemas.openxmlformats.org/officeDocument/2006/relationships/hyperlink" Target="https://github.com/dependency-check/DependencyCheck" TargetMode="External"/><Relationship Id="rId270" Type="http://schemas.openxmlformats.org/officeDocument/2006/relationships/hyperlink" Target="https://github.com/kucherenko/jscpd" TargetMode="External"/><Relationship Id="rId326" Type="http://schemas.openxmlformats.org/officeDocument/2006/relationships/hyperlink" Target="https://github.com/rohaquinlop/complexipy" TargetMode="External"/><Relationship Id="rId65" Type="http://schemas.openxmlformats.org/officeDocument/2006/relationships/hyperlink" Target="https://github.com/npm/cli" TargetMode="External"/><Relationship Id="rId130" Type="http://schemas.openxmlformats.org/officeDocument/2006/relationships/hyperlink" Target="https://github.com/spotbugs/spotbugs" TargetMode="External"/><Relationship Id="rId172" Type="http://schemas.openxmlformats.org/officeDocument/2006/relationships/hyperlink" Target="https://github.com/kucherenko/jscpd" TargetMode="External"/><Relationship Id="rId228" Type="http://schemas.openxmlformats.org/officeDocument/2006/relationships/hyperlink" Target="https://github.com/coveragepy/coveragepy" TargetMode="External"/><Relationship Id="rId281" Type="http://schemas.openxmlformats.org/officeDocument/2006/relationships/hyperlink" Target="https://github.com/pylint-dev/pylint" TargetMode="External"/><Relationship Id="rId337" Type="http://schemas.openxmlformats.org/officeDocument/2006/relationships/hyperlink" Target="https://github.com/dsherret/ts-morph" TargetMode="External"/><Relationship Id="rId34" Type="http://schemas.openxmlformats.org/officeDocument/2006/relationships/hyperlink" Target="https://github.com/eslint-community/eslint-plugin-security" TargetMode="External"/><Relationship Id="rId76" Type="http://schemas.openxmlformats.org/officeDocument/2006/relationships/hyperlink" Target="https://github.com/pmd/pmd" TargetMode="External"/><Relationship Id="rId141" Type="http://schemas.openxmlformats.org/officeDocument/2006/relationships/hyperlink" Target="https://github.com/jacoco/jacoco" TargetMode="External"/><Relationship Id="rId7" Type="http://schemas.openxmlformats.org/officeDocument/2006/relationships/hyperlink" Target="https://github.com/dotnet/roslyn" TargetMode="External"/><Relationship Id="rId183" Type="http://schemas.openxmlformats.org/officeDocument/2006/relationships/hyperlink" Target="https://github.com/biomejs/biome" TargetMode="External"/><Relationship Id="rId239" Type="http://schemas.openxmlformats.org/officeDocument/2006/relationships/hyperlink" Target="https://github.com/coveragepy/coveragepy" TargetMode="External"/><Relationship Id="rId250" Type="http://schemas.openxmlformats.org/officeDocument/2006/relationships/hyperlink" Target="https://github.com/coveragepy/coveragepy" TargetMode="External"/><Relationship Id="rId292" Type="http://schemas.openxmlformats.org/officeDocument/2006/relationships/hyperlink" Target="https://github.com/semgrep/semgrep" TargetMode="External"/><Relationship Id="rId306" Type="http://schemas.openxmlformats.org/officeDocument/2006/relationships/hyperlink" Target="https://github.com/sixty-north/cosmic-ray?utm_source=chatgpt.com" TargetMode="External"/><Relationship Id="rId45" Type="http://schemas.openxmlformats.org/officeDocument/2006/relationships/hyperlink" Target="https://github.com/eslint/eslint" TargetMode="External"/><Relationship Id="rId87" Type="http://schemas.openxmlformats.org/officeDocument/2006/relationships/hyperlink" Target="https://github.com/checkstyle/checkstyle" TargetMode="External"/><Relationship Id="rId110" Type="http://schemas.openxmlformats.org/officeDocument/2006/relationships/hyperlink" Target="https://github.com/ishepard/pydriller" TargetMode="External"/><Relationship Id="rId348" Type="http://schemas.openxmlformats.org/officeDocument/2006/relationships/hyperlink" Target="https://github.com/jacoco/jacoco" TargetMode="External"/><Relationship Id="rId152" Type="http://schemas.openxmlformats.org/officeDocument/2006/relationships/hyperlink" Target="https://github.com/terryyin/lizard" TargetMode="External"/><Relationship Id="rId194" Type="http://schemas.openxmlformats.org/officeDocument/2006/relationships/hyperlink" Target="https://github.com/eslint-community/eslint-plugin-security" TargetMode="External"/><Relationship Id="rId208" Type="http://schemas.openxmlformats.org/officeDocument/2006/relationships/hyperlink" Target="https://github.com/vitest-dev/vitest" TargetMode="External"/><Relationship Id="rId261" Type="http://schemas.openxmlformats.org/officeDocument/2006/relationships/hyperlink" Target="https://github.com/istanbuljs/nyc" TargetMode="External"/><Relationship Id="rId14" Type="http://schemas.openxmlformats.org/officeDocument/2006/relationships/hyperlink" Target="https://github.com/SteveGilham/altcover" TargetMode="External"/><Relationship Id="rId56" Type="http://schemas.openxmlformats.org/officeDocument/2006/relationships/hyperlink" Target="https://github.com/eslint-community/eslint-plugin-security" TargetMode="External"/><Relationship Id="rId317" Type="http://schemas.openxmlformats.org/officeDocument/2006/relationships/hyperlink" Target="https://github.com/ishepard/pydriller?utm_source=chatgpt.com" TargetMode="External"/><Relationship Id="rId359" Type="http://schemas.openxmlformats.org/officeDocument/2006/relationships/hyperlink" Target="https://github.com/sverweij/dependency-cruiser" TargetMode="External"/><Relationship Id="rId98" Type="http://schemas.openxmlformats.org/officeDocument/2006/relationships/hyperlink" Target="https://github.com/spotbugs/spotbugs" TargetMode="External"/><Relationship Id="rId121" Type="http://schemas.openxmlformats.org/officeDocument/2006/relationships/hyperlink" Target="https://github.com/spotbugs/spotbugs" TargetMode="External"/><Relationship Id="rId163" Type="http://schemas.openxmlformats.org/officeDocument/2006/relationships/hyperlink" Target="https://github.com/mochajs/mocha" TargetMode="External"/><Relationship Id="rId219" Type="http://schemas.openxmlformats.org/officeDocument/2006/relationships/hyperlink" Target="https://github.com/coveragepy/coveragepy" TargetMode="External"/><Relationship Id="rId230" Type="http://schemas.openxmlformats.org/officeDocument/2006/relationships/hyperlink" Target="https://github.com/coveragepy/coveragepy" TargetMode="External"/><Relationship Id="rId25" Type="http://schemas.openxmlformats.org/officeDocument/2006/relationships/hyperlink" Target="https://github.com/terryyin/lizard" TargetMode="External"/><Relationship Id="rId67" Type="http://schemas.openxmlformats.org/officeDocument/2006/relationships/hyperlink" Target="https://github.com/npm/cli" TargetMode="External"/><Relationship Id="rId272" Type="http://schemas.openxmlformats.org/officeDocument/2006/relationships/hyperlink" Target="https://github.com/kucherenko/jscpd" TargetMode="External"/><Relationship Id="rId328" Type="http://schemas.openxmlformats.org/officeDocument/2006/relationships/hyperlink" Target="https://github.com/rohaquinlop/complexipy" TargetMode="External"/><Relationship Id="rId132" Type="http://schemas.openxmlformats.org/officeDocument/2006/relationships/hyperlink" Target="https://github.com/jacoco/jacoco" TargetMode="External"/><Relationship Id="rId174" Type="http://schemas.openxmlformats.org/officeDocument/2006/relationships/hyperlink" Target="https://github.com/kucherenko/jscpd" TargetMode="External"/><Relationship Id="rId220" Type="http://schemas.openxmlformats.org/officeDocument/2006/relationships/hyperlink" Target="https://github.com/coveragepy/coveragepy" TargetMode="External"/><Relationship Id="rId241" Type="http://schemas.openxmlformats.org/officeDocument/2006/relationships/hyperlink" Target="https://github.com/coveragepy/coveragepy" TargetMode="External"/><Relationship Id="rId15" Type="http://schemas.openxmlformats.org/officeDocument/2006/relationships/hyperlink" Target="https://github.com/SteveGilham/altcover" TargetMode="External"/><Relationship Id="rId36" Type="http://schemas.openxmlformats.org/officeDocument/2006/relationships/hyperlink" Target="https://github.com/kucherenko/jscpd" TargetMode="External"/><Relationship Id="rId57" Type="http://schemas.openxmlformats.org/officeDocument/2006/relationships/hyperlink" Target="https://github.com/eslint-community/eslint-plugin-security" TargetMode="External"/><Relationship Id="rId262" Type="http://schemas.openxmlformats.org/officeDocument/2006/relationships/hyperlink" Target="https://github.com/istanbuljs/nyc" TargetMode="External"/><Relationship Id="rId283" Type="http://schemas.openxmlformats.org/officeDocument/2006/relationships/hyperlink" Target="https://github.com/pylint-dev/pylint" TargetMode="External"/><Relationship Id="rId318" Type="http://schemas.openxmlformats.org/officeDocument/2006/relationships/hyperlink" Target="https://github.com/ishepard/pydriller?utm_source=chatgpt.com" TargetMode="External"/><Relationship Id="rId339" Type="http://schemas.openxmlformats.org/officeDocument/2006/relationships/hyperlink" Target="https://learn.microsoft.com/en-us/dotnet/core/tools/dotnet-package-list" TargetMode="External"/><Relationship Id="rId78" Type="http://schemas.openxmlformats.org/officeDocument/2006/relationships/hyperlink" Target="https://github.com/pmd/pmd" TargetMode="External"/><Relationship Id="rId99" Type="http://schemas.openxmlformats.org/officeDocument/2006/relationships/hyperlink" Target="https://github.com/Bachmann1234/diff_cover" TargetMode="External"/><Relationship Id="rId101" Type="http://schemas.openxmlformats.org/officeDocument/2006/relationships/hyperlink" Target="https://github.com/spotbugs/spotbugs" TargetMode="External"/><Relationship Id="rId122" Type="http://schemas.openxmlformats.org/officeDocument/2006/relationships/hyperlink" Target="https://github.com/spotbugs/spotbugs" TargetMode="External"/><Relationship Id="rId143" Type="http://schemas.openxmlformats.org/officeDocument/2006/relationships/hyperlink" Target="https://github.com/hcoles/pitest" TargetMode="External"/><Relationship Id="rId164" Type="http://schemas.openxmlformats.org/officeDocument/2006/relationships/hyperlink" Target="https://github.com/mochajs/mocha" TargetMode="External"/><Relationship Id="rId185" Type="http://schemas.openxmlformats.org/officeDocument/2006/relationships/hyperlink" Target="https://github.com/biomejs/biome" TargetMode="External"/><Relationship Id="rId350" Type="http://schemas.openxmlformats.org/officeDocument/2006/relationships/hyperlink" Target="https://github.com/jacoco/jacoco" TargetMode="External"/><Relationship Id="rId9" Type="http://schemas.openxmlformats.org/officeDocument/2006/relationships/hyperlink" Target="https://github.com/semgrep/semgrep" TargetMode="External"/><Relationship Id="rId210" Type="http://schemas.openxmlformats.org/officeDocument/2006/relationships/hyperlink" Target="https://github.com/pschanely/CrossHair" TargetMode="External"/><Relationship Id="rId26" Type="http://schemas.openxmlformats.org/officeDocument/2006/relationships/hyperlink" Target="https://github.com/terryyin/lizard" TargetMode="External"/><Relationship Id="rId231" Type="http://schemas.openxmlformats.org/officeDocument/2006/relationships/hyperlink" Target="https://github.com/coveragepy/coveragepy" TargetMode="External"/><Relationship Id="rId252" Type="http://schemas.openxmlformats.org/officeDocument/2006/relationships/hyperlink" Target="https://github.com/coveragepy/coveragepy" TargetMode="External"/><Relationship Id="rId273" Type="http://schemas.openxmlformats.org/officeDocument/2006/relationships/hyperlink" Target="https://github.com/kucherenko/jscpd" TargetMode="External"/><Relationship Id="rId294" Type="http://schemas.openxmlformats.org/officeDocument/2006/relationships/hyperlink" Target="https://github.com/semgrep/semgrep" TargetMode="External"/><Relationship Id="rId308" Type="http://schemas.openxmlformats.org/officeDocument/2006/relationships/hyperlink" Target="https://github.com/sixty-north/cosmic-ray?utm_source=chatgpt.com" TargetMode="External"/><Relationship Id="rId329" Type="http://schemas.openxmlformats.org/officeDocument/2006/relationships/hyperlink" Target="https://github.com/rohaquinlop/complexipy" TargetMode="External"/><Relationship Id="rId47" Type="http://schemas.openxmlformats.org/officeDocument/2006/relationships/hyperlink" Target="https://github.com/eslint/eslint" TargetMode="External"/><Relationship Id="rId68" Type="http://schemas.openxmlformats.org/officeDocument/2006/relationships/hyperlink" Target="https://github.com/pmd/pmd" TargetMode="External"/><Relationship Id="rId89" Type="http://schemas.openxmlformats.org/officeDocument/2006/relationships/hyperlink" Target="https://github.com/checkstyle/checkstyle" TargetMode="External"/><Relationship Id="rId112" Type="http://schemas.openxmlformats.org/officeDocument/2006/relationships/hyperlink" Target="https://github.com/dependency-check/DependencyCheck" TargetMode="External"/><Relationship Id="rId133" Type="http://schemas.openxmlformats.org/officeDocument/2006/relationships/hyperlink" Target="https://github.com/jacoco/jacoco" TargetMode="External"/><Relationship Id="rId154" Type="http://schemas.openxmlformats.org/officeDocument/2006/relationships/hyperlink" Target="https://github.com/terryyin/lizard" TargetMode="External"/><Relationship Id="rId175" Type="http://schemas.openxmlformats.org/officeDocument/2006/relationships/hyperlink" Target="https://github.com/kucherenko/jscpd" TargetMode="External"/><Relationship Id="rId340" Type="http://schemas.openxmlformats.org/officeDocument/2006/relationships/hyperlink" Target="https://learn.microsoft.com/en-us/dotnet/core/tools/dotnet-package-list" TargetMode="External"/><Relationship Id="rId361" Type="http://schemas.openxmlformats.org/officeDocument/2006/relationships/hyperlink" Target="https://github.com/oss-review-toolkit/ort" TargetMode="External"/><Relationship Id="rId196" Type="http://schemas.openxmlformats.org/officeDocument/2006/relationships/hyperlink" Target="https://github.com/eslint-community/eslint-plugin-security" TargetMode="External"/><Relationship Id="rId200" Type="http://schemas.openxmlformats.org/officeDocument/2006/relationships/hyperlink" Target="https://github.com/eslint-community/eslint-plugin-security" TargetMode="External"/><Relationship Id="rId16" Type="http://schemas.openxmlformats.org/officeDocument/2006/relationships/hyperlink" Target="https://github.com/stryker-mutator/stryker-net" TargetMode="External"/><Relationship Id="rId221" Type="http://schemas.openxmlformats.org/officeDocument/2006/relationships/hyperlink" Target="https://github.com/coveragepy/coveragepy" TargetMode="External"/><Relationship Id="rId242" Type="http://schemas.openxmlformats.org/officeDocument/2006/relationships/hyperlink" Target="https://github.com/coveragepy/coveragepy" TargetMode="External"/><Relationship Id="rId263" Type="http://schemas.openxmlformats.org/officeDocument/2006/relationships/hyperlink" Target="https://github.com/istanbuljs/nyc" TargetMode="External"/><Relationship Id="rId284" Type="http://schemas.openxmlformats.org/officeDocument/2006/relationships/hyperlink" Target="https://github.com/pylint-dev/pylint" TargetMode="External"/><Relationship Id="rId319" Type="http://schemas.openxmlformats.org/officeDocument/2006/relationships/hyperlink" Target="https://github.com/gw-kit/delta-coverage-plugin" TargetMode="External"/><Relationship Id="rId37" Type="http://schemas.openxmlformats.org/officeDocument/2006/relationships/hyperlink" Target="https://github.com/kucherenko/jscpd" TargetMode="External"/><Relationship Id="rId58" Type="http://schemas.openxmlformats.org/officeDocument/2006/relationships/hyperlink" Target="https://github.com/npm/cli" TargetMode="External"/><Relationship Id="rId79" Type="http://schemas.openxmlformats.org/officeDocument/2006/relationships/hyperlink" Target="https://github.com/pmd/pmd" TargetMode="External"/><Relationship Id="rId102" Type="http://schemas.openxmlformats.org/officeDocument/2006/relationships/hyperlink" Target="https://github.com/spotbugs/spotbugs" TargetMode="External"/><Relationship Id="rId123" Type="http://schemas.openxmlformats.org/officeDocument/2006/relationships/hyperlink" Target="https://github.com/spotbugs/spotbugs" TargetMode="External"/><Relationship Id="rId144" Type="http://schemas.openxmlformats.org/officeDocument/2006/relationships/hyperlink" Target="https://github.com/hcoles/pitest" TargetMode="External"/><Relationship Id="rId330" Type="http://schemas.openxmlformats.org/officeDocument/2006/relationships/hyperlink" Target="https://github.com/rohaquinlop/complexipy" TargetMode="External"/><Relationship Id="rId90" Type="http://schemas.openxmlformats.org/officeDocument/2006/relationships/hyperlink" Target="https://github.com/checkstyle/checkstyle" TargetMode="External"/><Relationship Id="rId165" Type="http://schemas.openxmlformats.org/officeDocument/2006/relationships/hyperlink" Target="https://github.com/mochajs/mocha" TargetMode="External"/><Relationship Id="rId186" Type="http://schemas.openxmlformats.org/officeDocument/2006/relationships/hyperlink" Target="https://github.com/stryker-mutator/stryker-js" TargetMode="External"/><Relationship Id="rId351" Type="http://schemas.openxmlformats.org/officeDocument/2006/relationships/hyperlink" Target="https://github.com/jacoco/jacoco" TargetMode="External"/><Relationship Id="rId211" Type="http://schemas.openxmlformats.org/officeDocument/2006/relationships/hyperlink" Target="https://github.com/pschanely/CrossHair" TargetMode="External"/><Relationship Id="rId232" Type="http://schemas.openxmlformats.org/officeDocument/2006/relationships/hyperlink" Target="https://github.com/coveragepy/coveragepy" TargetMode="External"/><Relationship Id="rId253" Type="http://schemas.openxmlformats.org/officeDocument/2006/relationships/hyperlink" Target="https://pypi.org/project/pymcdc/" TargetMode="External"/><Relationship Id="rId274" Type="http://schemas.openxmlformats.org/officeDocument/2006/relationships/hyperlink" Target="https://github.com/kucherenko/jscpd" TargetMode="External"/><Relationship Id="rId295" Type="http://schemas.openxmlformats.org/officeDocument/2006/relationships/hyperlink" Target="https://github.com/semgrep/semgrep" TargetMode="External"/><Relationship Id="rId309" Type="http://schemas.openxmlformats.org/officeDocument/2006/relationships/hyperlink" Target="https://github.com/sixty-north/cosmic-ray?utm_source=chatgpt.com" TargetMode="External"/><Relationship Id="rId27" Type="http://schemas.openxmlformats.org/officeDocument/2006/relationships/hyperlink" Target="https://github.com/terryyin/lizard" TargetMode="External"/><Relationship Id="rId48" Type="http://schemas.openxmlformats.org/officeDocument/2006/relationships/hyperlink" Target="https://github.com/eslint/eslint" TargetMode="External"/><Relationship Id="rId69" Type="http://schemas.openxmlformats.org/officeDocument/2006/relationships/hyperlink" Target="https://github.com/npm/cli" TargetMode="External"/><Relationship Id="rId113" Type="http://schemas.openxmlformats.org/officeDocument/2006/relationships/hyperlink" Target="https://github.com/dependency-check/DependencyCheck" TargetMode="External"/><Relationship Id="rId134" Type="http://schemas.openxmlformats.org/officeDocument/2006/relationships/hyperlink" Target="https://github.com/jacoco/jacoco" TargetMode="External"/><Relationship Id="rId320" Type="http://schemas.openxmlformats.org/officeDocument/2006/relationships/hyperlink" Target="https://github.com/SurpSG/diff-coverage-maven-plugin" TargetMode="External"/><Relationship Id="rId80" Type="http://schemas.openxmlformats.org/officeDocument/2006/relationships/hyperlink" Target="https://github.com/pmd/pmd" TargetMode="External"/><Relationship Id="rId155" Type="http://schemas.openxmlformats.org/officeDocument/2006/relationships/hyperlink" Target="https://github.com/SonarSource/SonarJS" TargetMode="External"/><Relationship Id="rId176" Type="http://schemas.openxmlformats.org/officeDocument/2006/relationships/hyperlink" Target="https://github.com/biomejs/biome" TargetMode="External"/><Relationship Id="rId197" Type="http://schemas.openxmlformats.org/officeDocument/2006/relationships/hyperlink" Target="https://github.com/eslint-community/eslint-plugin-security" TargetMode="External"/><Relationship Id="rId341" Type="http://schemas.openxmlformats.org/officeDocument/2006/relationships/hyperlink" Target="https://github.com/eslint-community/eslint-plugin-security" TargetMode="External"/><Relationship Id="rId362" Type="http://schemas.openxmlformats.org/officeDocument/2006/relationships/hyperlink" Target="https://github.com/google/osv-scanner" TargetMode="External"/><Relationship Id="rId201" Type="http://schemas.openxmlformats.org/officeDocument/2006/relationships/hyperlink" Target="https://github.com/stryker-mutator/stryker-js" TargetMode="External"/><Relationship Id="rId222" Type="http://schemas.openxmlformats.org/officeDocument/2006/relationships/hyperlink" Target="https://github.com/coveragepy/coveragepy" TargetMode="External"/><Relationship Id="rId243" Type="http://schemas.openxmlformats.org/officeDocument/2006/relationships/hyperlink" Target="https://github.com/coveragepy/coveragepy" TargetMode="External"/><Relationship Id="rId264" Type="http://schemas.openxmlformats.org/officeDocument/2006/relationships/hyperlink" Target="https://github.com/istanbuljs/nyc" TargetMode="External"/><Relationship Id="rId285" Type="http://schemas.openxmlformats.org/officeDocument/2006/relationships/hyperlink" Target="https://github.com/pylint-dev/pylint" TargetMode="External"/><Relationship Id="rId17" Type="http://schemas.openxmlformats.org/officeDocument/2006/relationships/hyperlink" Target="https://github.com/stryker-mutator/stryker-net" TargetMode="External"/><Relationship Id="rId38" Type="http://schemas.openxmlformats.org/officeDocument/2006/relationships/hyperlink" Target="https://github.com/kucherenko/jscpd" TargetMode="External"/><Relationship Id="rId59" Type="http://schemas.openxmlformats.org/officeDocument/2006/relationships/hyperlink" Target="https://github.com/mauricioaniche/ck" TargetMode="External"/><Relationship Id="rId103" Type="http://schemas.openxmlformats.org/officeDocument/2006/relationships/hyperlink" Target="https://github.com/spotbugs/spotbugs" TargetMode="External"/><Relationship Id="rId124" Type="http://schemas.openxmlformats.org/officeDocument/2006/relationships/hyperlink" Target="https://github.com/spotbugs/spotbugs" TargetMode="External"/><Relationship Id="rId310" Type="http://schemas.openxmlformats.org/officeDocument/2006/relationships/hyperlink" Target="https://github.com/sixty-north/cosmic-ray?utm_source=chatgpt.com" TargetMode="External"/><Relationship Id="rId70" Type="http://schemas.openxmlformats.org/officeDocument/2006/relationships/hyperlink" Target="https://github.com/pmd/pmd" TargetMode="External"/><Relationship Id="rId91" Type="http://schemas.openxmlformats.org/officeDocument/2006/relationships/hyperlink" Target="https://github.com/checkstyle/checkstyle" TargetMode="External"/><Relationship Id="rId145" Type="http://schemas.openxmlformats.org/officeDocument/2006/relationships/hyperlink" Target="https://github.com/hcoles/pitest" TargetMode="External"/><Relationship Id="rId166" Type="http://schemas.openxmlformats.org/officeDocument/2006/relationships/hyperlink" Target="https://github.com/mochajs/mocha" TargetMode="External"/><Relationship Id="rId187" Type="http://schemas.openxmlformats.org/officeDocument/2006/relationships/hyperlink" Target="https://github.com/biomejs/biome" TargetMode="External"/><Relationship Id="rId331" Type="http://schemas.openxmlformats.org/officeDocument/2006/relationships/hyperlink" Target="https://github.com/rohaquinlop/complexipy" TargetMode="External"/><Relationship Id="rId352" Type="http://schemas.openxmlformats.org/officeDocument/2006/relationships/hyperlink" Target="https://github.com/jacoco/jacoco" TargetMode="External"/><Relationship Id="rId1" Type="http://schemas.openxmlformats.org/officeDocument/2006/relationships/hyperlink" Target="https://github.com/terryyin/lizard" TargetMode="External"/><Relationship Id="rId212" Type="http://schemas.openxmlformats.org/officeDocument/2006/relationships/hyperlink" Target="https://github.com/pschanely/CrossHair" TargetMode="External"/><Relationship Id="rId233" Type="http://schemas.openxmlformats.org/officeDocument/2006/relationships/hyperlink" Target="https://github.com/coveragepy/coveragepy" TargetMode="External"/><Relationship Id="rId254" Type="http://schemas.openxmlformats.org/officeDocument/2006/relationships/hyperlink" Target="https://github.com/istanbuljs/nyc" TargetMode="External"/><Relationship Id="rId28" Type="http://schemas.openxmlformats.org/officeDocument/2006/relationships/hyperlink" Target="https://github.com/terryyin/lizard" TargetMode="External"/><Relationship Id="rId49" Type="http://schemas.openxmlformats.org/officeDocument/2006/relationships/hyperlink" Target="https://github.com/eslint/eslint" TargetMode="External"/><Relationship Id="rId114" Type="http://schemas.openxmlformats.org/officeDocument/2006/relationships/hyperlink" Target="https://github.com/dependency-check/DependencyCheck" TargetMode="External"/><Relationship Id="rId275" Type="http://schemas.openxmlformats.org/officeDocument/2006/relationships/hyperlink" Target="https://github.com/kucherenko/jscpd" TargetMode="External"/><Relationship Id="rId296" Type="http://schemas.openxmlformats.org/officeDocument/2006/relationships/hyperlink" Target="https://github.com/pypa/pip-audit?utm_source=chatgpt.com" TargetMode="External"/><Relationship Id="rId300" Type="http://schemas.openxmlformats.org/officeDocument/2006/relationships/hyperlink" Target="https://github.com/pypa/pip-audit?utm_source=chatgpt.com" TargetMode="External"/><Relationship Id="rId60" Type="http://schemas.openxmlformats.org/officeDocument/2006/relationships/hyperlink" Target="https://github.com/mauricioaniche/ck" TargetMode="External"/><Relationship Id="rId81" Type="http://schemas.openxmlformats.org/officeDocument/2006/relationships/hyperlink" Target="https://github.com/pmd/pmd" TargetMode="External"/><Relationship Id="rId135" Type="http://schemas.openxmlformats.org/officeDocument/2006/relationships/hyperlink" Target="https://github.com/jacoco/jacoco" TargetMode="External"/><Relationship Id="rId156" Type="http://schemas.openxmlformats.org/officeDocument/2006/relationships/hyperlink" Target="https://github.com/SonarSource/SonarJS" TargetMode="External"/><Relationship Id="rId177" Type="http://schemas.openxmlformats.org/officeDocument/2006/relationships/hyperlink" Target="https://github.com/biomejs/biome" TargetMode="External"/><Relationship Id="rId198" Type="http://schemas.openxmlformats.org/officeDocument/2006/relationships/hyperlink" Target="https://github.com/stryker-mutator/stryker-js" TargetMode="External"/><Relationship Id="rId321" Type="http://schemas.openxmlformats.org/officeDocument/2006/relationships/hyperlink" Target="https://github.com/jacoco/jacoco" TargetMode="External"/><Relationship Id="rId342" Type="http://schemas.openxmlformats.org/officeDocument/2006/relationships/hyperlink" Target="https://github.com/jacoco/jacoco" TargetMode="External"/><Relationship Id="rId363" Type="http://schemas.openxmlformats.org/officeDocument/2006/relationships/hyperlink" Target="https://github.com/nestjs/nest" TargetMode="External"/><Relationship Id="rId202" Type="http://schemas.openxmlformats.org/officeDocument/2006/relationships/hyperlink" Target="https://github.com/vitest-dev/vitest" TargetMode="External"/><Relationship Id="rId223" Type="http://schemas.openxmlformats.org/officeDocument/2006/relationships/hyperlink" Target="https://github.com/coveragepy/coveragepy" TargetMode="External"/><Relationship Id="rId244" Type="http://schemas.openxmlformats.org/officeDocument/2006/relationships/hyperlink" Target="https://github.com/coveragepy/coveragepy" TargetMode="External"/><Relationship Id="rId18" Type="http://schemas.openxmlformats.org/officeDocument/2006/relationships/hyperlink" Target="https://github.com/coverlet-coverage/coverlet" TargetMode="External"/><Relationship Id="rId39" Type="http://schemas.openxmlformats.org/officeDocument/2006/relationships/hyperlink" Target="https://github.com/kucherenko/jscpd" TargetMode="External"/><Relationship Id="rId265" Type="http://schemas.openxmlformats.org/officeDocument/2006/relationships/hyperlink" Target="https://github.com/istanbuljs/nyc" TargetMode="External"/><Relationship Id="rId286" Type="http://schemas.openxmlformats.org/officeDocument/2006/relationships/hyperlink" Target="https://github.com/pylint-dev/pylint" TargetMode="External"/><Relationship Id="rId50" Type="http://schemas.openxmlformats.org/officeDocument/2006/relationships/hyperlink" Target="https://github.com/eslint/eslint" TargetMode="External"/><Relationship Id="rId104" Type="http://schemas.openxmlformats.org/officeDocument/2006/relationships/hyperlink" Target="https://github.com/Bachmann1234/diff_cover" TargetMode="External"/><Relationship Id="rId125" Type="http://schemas.openxmlformats.org/officeDocument/2006/relationships/hyperlink" Target="https://github.com/spotbugs/spotbugs" TargetMode="External"/><Relationship Id="rId146" Type="http://schemas.openxmlformats.org/officeDocument/2006/relationships/hyperlink" Target="https://github.com/hcoles/pitest" TargetMode="External"/><Relationship Id="rId167" Type="http://schemas.openxmlformats.org/officeDocument/2006/relationships/hyperlink" Target="https://github.com/mochajs/mocha" TargetMode="External"/><Relationship Id="rId188" Type="http://schemas.openxmlformats.org/officeDocument/2006/relationships/hyperlink" Target="https://github.com/biomejs/biome" TargetMode="External"/><Relationship Id="rId311" Type="http://schemas.openxmlformats.org/officeDocument/2006/relationships/hyperlink" Target="https://github.com/serge-sans-paille/beniget" TargetMode="External"/><Relationship Id="rId332" Type="http://schemas.openxmlformats.org/officeDocument/2006/relationships/hyperlink" Target="https://github.com/rohaquinlop/complexipy" TargetMode="External"/><Relationship Id="rId353" Type="http://schemas.openxmlformats.org/officeDocument/2006/relationships/hyperlink" Target="https://github.com/saeg/ba-dua%20,%20https:/github.com/jacoco/jacoco" TargetMode="External"/><Relationship Id="rId71" Type="http://schemas.openxmlformats.org/officeDocument/2006/relationships/hyperlink" Target="https://github.com/pmd/pmd" TargetMode="External"/><Relationship Id="rId92" Type="http://schemas.openxmlformats.org/officeDocument/2006/relationships/hyperlink" Target="https://github.com/checkstyle/checkstyle" TargetMode="External"/><Relationship Id="rId213" Type="http://schemas.openxmlformats.org/officeDocument/2006/relationships/hyperlink" Target="https://github.com/coveragepy/coveragepy" TargetMode="External"/><Relationship Id="rId234" Type="http://schemas.openxmlformats.org/officeDocument/2006/relationships/hyperlink" Target="https://github.com/coveragepy/coveragepy" TargetMode="External"/><Relationship Id="rId2" Type="http://schemas.openxmlformats.org/officeDocument/2006/relationships/hyperlink" Target="https://github.com/terryyin/lizard" TargetMode="External"/><Relationship Id="rId29" Type="http://schemas.openxmlformats.org/officeDocument/2006/relationships/hyperlink" Target="https://github.com/eslint-community/eslint-plugin-security" TargetMode="External"/><Relationship Id="rId255" Type="http://schemas.openxmlformats.org/officeDocument/2006/relationships/hyperlink" Target="https://github.com/rubik/radon" TargetMode="External"/><Relationship Id="rId276" Type="http://schemas.openxmlformats.org/officeDocument/2006/relationships/hyperlink" Target="https://github.com/kucherenko/jscpd" TargetMode="External"/><Relationship Id="rId297" Type="http://schemas.openxmlformats.org/officeDocument/2006/relationships/hyperlink" Target="https://github.com/pypa/pip-audit?utm_source=chatgpt.com" TargetMode="External"/><Relationship Id="rId40" Type="http://schemas.openxmlformats.org/officeDocument/2006/relationships/hyperlink" Target="https://github.com/mauricioaniche/ck" TargetMode="External"/><Relationship Id="rId115" Type="http://schemas.openxmlformats.org/officeDocument/2006/relationships/hyperlink" Target="https://github.com/dependency-check/DependencyCheck" TargetMode="External"/><Relationship Id="rId136" Type="http://schemas.openxmlformats.org/officeDocument/2006/relationships/hyperlink" Target="https://github.com/jacoco/jacoco" TargetMode="External"/><Relationship Id="rId157" Type="http://schemas.openxmlformats.org/officeDocument/2006/relationships/hyperlink" Target="https://github.com/SonarSource/SonarJS" TargetMode="External"/><Relationship Id="rId178" Type="http://schemas.openxmlformats.org/officeDocument/2006/relationships/hyperlink" Target="https://github.com/biomejs/biome" TargetMode="External"/><Relationship Id="rId301" Type="http://schemas.openxmlformats.org/officeDocument/2006/relationships/hyperlink" Target="https://github.com/pypa/pip-audit?utm_source=chatgpt.com" TargetMode="External"/><Relationship Id="rId322" Type="http://schemas.openxmlformats.org/officeDocument/2006/relationships/hyperlink" Target="https://github.com/jacoco/jacoco" TargetMode="External"/><Relationship Id="rId343" Type="http://schemas.openxmlformats.org/officeDocument/2006/relationships/hyperlink" Target="https://github.com/SonarSource/SonarJS" TargetMode="External"/><Relationship Id="rId364" Type="http://schemas.openxmlformats.org/officeDocument/2006/relationships/hyperlink" Target="https://github.com/anchore/grype" TargetMode="External"/><Relationship Id="rId61" Type="http://schemas.openxmlformats.org/officeDocument/2006/relationships/hyperlink" Target="https://github.com/mauricioaniche/ck" TargetMode="External"/><Relationship Id="rId82" Type="http://schemas.openxmlformats.org/officeDocument/2006/relationships/hyperlink" Target="https://github.com/pmd/pmd" TargetMode="External"/><Relationship Id="rId199" Type="http://schemas.openxmlformats.org/officeDocument/2006/relationships/hyperlink" Target="https://github.com/eslint-community/eslint-plugin-security" TargetMode="External"/><Relationship Id="rId203" Type="http://schemas.openxmlformats.org/officeDocument/2006/relationships/hyperlink" Target="https://github.com/vitest-dev/vitest" TargetMode="External"/><Relationship Id="rId19" Type="http://schemas.openxmlformats.org/officeDocument/2006/relationships/hyperlink" Target="https://github.com/coverlet-coverage/coverlet" TargetMode="External"/><Relationship Id="rId224" Type="http://schemas.openxmlformats.org/officeDocument/2006/relationships/hyperlink" Target="https://github.com/coveragepy/coveragepy" TargetMode="External"/><Relationship Id="rId245" Type="http://schemas.openxmlformats.org/officeDocument/2006/relationships/hyperlink" Target="https://github.com/coveragepy/coveragepy" TargetMode="External"/><Relationship Id="rId266" Type="http://schemas.openxmlformats.org/officeDocument/2006/relationships/hyperlink" Target="https://github.com/istanbuljs/nyc" TargetMode="External"/><Relationship Id="rId287" Type="http://schemas.openxmlformats.org/officeDocument/2006/relationships/hyperlink" Target="https://github.com/pylint-dev/pylint" TargetMode="External"/><Relationship Id="rId30" Type="http://schemas.openxmlformats.org/officeDocument/2006/relationships/hyperlink" Target="https://github.com/eslint-community/eslint-plugin-security" TargetMode="External"/><Relationship Id="rId105" Type="http://schemas.openxmlformats.org/officeDocument/2006/relationships/hyperlink" Target="https://github.com/Bachmann1234/diff_cover" TargetMode="External"/><Relationship Id="rId126" Type="http://schemas.openxmlformats.org/officeDocument/2006/relationships/hyperlink" Target="https://github.com/spotbugs/spotbugs" TargetMode="External"/><Relationship Id="rId147" Type="http://schemas.openxmlformats.org/officeDocument/2006/relationships/hyperlink" Target="https://github.com/hcoles/pitest" TargetMode="External"/><Relationship Id="rId168" Type="http://schemas.openxmlformats.org/officeDocument/2006/relationships/hyperlink" Target="https://github.com/kucherenko/jscpd" TargetMode="External"/><Relationship Id="rId312" Type="http://schemas.openxmlformats.org/officeDocument/2006/relationships/hyperlink" Target="https://github.com/serge-sans-paille/beniget" TargetMode="External"/><Relationship Id="rId333" Type="http://schemas.openxmlformats.org/officeDocument/2006/relationships/hyperlink" Target="https://github.com/jacoco/jacoco%20%20,%20https:/github.com/saeg/ba-dua" TargetMode="External"/><Relationship Id="rId354" Type="http://schemas.openxmlformats.org/officeDocument/2006/relationships/hyperlink" Target="https://github.com/PyCQA/bandit" TargetMode="External"/><Relationship Id="rId51" Type="http://schemas.openxmlformats.org/officeDocument/2006/relationships/hyperlink" Target="https://github.com/eslint/eslint" TargetMode="External"/><Relationship Id="rId72" Type="http://schemas.openxmlformats.org/officeDocument/2006/relationships/hyperlink" Target="https://github.com/pmd/pmd" TargetMode="External"/><Relationship Id="rId93" Type="http://schemas.openxmlformats.org/officeDocument/2006/relationships/hyperlink" Target="https://github.com/istanbuljs/nyc" TargetMode="External"/><Relationship Id="rId189" Type="http://schemas.openxmlformats.org/officeDocument/2006/relationships/hyperlink" Target="https://github.com/stryker-mutator/stryker-js" TargetMode="External"/><Relationship Id="rId3" Type="http://schemas.openxmlformats.org/officeDocument/2006/relationships/hyperlink" Target="https://github.com/dotnet/roslyn" TargetMode="External"/><Relationship Id="rId214" Type="http://schemas.openxmlformats.org/officeDocument/2006/relationships/hyperlink" Target="https://github.com/coveragepy/coveragepy" TargetMode="External"/><Relationship Id="rId235" Type="http://schemas.openxmlformats.org/officeDocument/2006/relationships/hyperlink" Target="https://github.com/coveragepy/coveragepy" TargetMode="External"/><Relationship Id="rId256" Type="http://schemas.openxmlformats.org/officeDocument/2006/relationships/hyperlink" Target="https://github.com/istanbuljs/nyc" TargetMode="External"/><Relationship Id="rId277" Type="http://schemas.openxmlformats.org/officeDocument/2006/relationships/hyperlink" Target="https://github.com/pylint-dev/pylint" TargetMode="External"/><Relationship Id="rId298" Type="http://schemas.openxmlformats.org/officeDocument/2006/relationships/hyperlink" Target="https://github.com/pypa/pip-audit?utm_source=chatgpt.com" TargetMode="External"/><Relationship Id="rId116" Type="http://schemas.openxmlformats.org/officeDocument/2006/relationships/hyperlink" Target="https://github.com/dependency-check/DependencyCheck" TargetMode="External"/><Relationship Id="rId137" Type="http://schemas.openxmlformats.org/officeDocument/2006/relationships/hyperlink" Target="https://github.com/jacoco/jacoco" TargetMode="External"/><Relationship Id="rId158" Type="http://schemas.openxmlformats.org/officeDocument/2006/relationships/hyperlink" Target="https://github.com/SonarSource/SonarJS" TargetMode="External"/><Relationship Id="rId302" Type="http://schemas.openxmlformats.org/officeDocument/2006/relationships/hyperlink" Target="https://github.com/pypa/pip-audit?utm_source=chatgpt.com" TargetMode="External"/><Relationship Id="rId323" Type="http://schemas.openxmlformats.org/officeDocument/2006/relationships/hyperlink" Target="https://github.com/SurpSG/diff-coverage-maven-plugin" TargetMode="External"/><Relationship Id="rId344" Type="http://schemas.openxmlformats.org/officeDocument/2006/relationships/hyperlink" Target="https://github.com/jacoco/jacoco%20%20,%20https:/github.com/saeg/ba-dua" TargetMode="External"/><Relationship Id="rId20" Type="http://schemas.openxmlformats.org/officeDocument/2006/relationships/hyperlink" Target="https://github.com/stryker-mutator/stryker-net" TargetMode="External"/><Relationship Id="rId41" Type="http://schemas.openxmlformats.org/officeDocument/2006/relationships/hyperlink" Target="https://github.com/kucherenko/jscpd" TargetMode="External"/><Relationship Id="rId62" Type="http://schemas.openxmlformats.org/officeDocument/2006/relationships/hyperlink" Target="https://github.com/mauricioaniche/ck" TargetMode="External"/><Relationship Id="rId83" Type="http://schemas.openxmlformats.org/officeDocument/2006/relationships/hyperlink" Target="https://github.com/checkstyle/checkstyle" TargetMode="External"/><Relationship Id="rId179" Type="http://schemas.openxmlformats.org/officeDocument/2006/relationships/hyperlink" Target="https://github.com/biomejs/biome" TargetMode="External"/><Relationship Id="rId365" Type="http://schemas.openxmlformats.org/officeDocument/2006/relationships/hyperlink" Target="https://github.com/dependabot/dependabot-core" TargetMode="External"/><Relationship Id="rId190" Type="http://schemas.openxmlformats.org/officeDocument/2006/relationships/hyperlink" Target="https://github.com/stryker-mutator/stryker-js" TargetMode="External"/><Relationship Id="rId204" Type="http://schemas.openxmlformats.org/officeDocument/2006/relationships/hyperlink" Target="https://github.com/vitest-dev/vitest" TargetMode="External"/><Relationship Id="rId225" Type="http://schemas.openxmlformats.org/officeDocument/2006/relationships/hyperlink" Target="https://github.com/coveragepy/coveragepy" TargetMode="External"/><Relationship Id="rId246" Type="http://schemas.openxmlformats.org/officeDocument/2006/relationships/hyperlink" Target="https://github.com/coveragepy/coveragepy" TargetMode="External"/><Relationship Id="rId267" Type="http://schemas.openxmlformats.org/officeDocument/2006/relationships/hyperlink" Target="https://github.com/tarpas/pytest-testmon" TargetMode="External"/><Relationship Id="rId288" Type="http://schemas.openxmlformats.org/officeDocument/2006/relationships/hyperlink" Target="https://github.com/pylint-dev/pylint" TargetMode="External"/><Relationship Id="rId106" Type="http://schemas.openxmlformats.org/officeDocument/2006/relationships/hyperlink" Target="https://github.com/Bachmann1234/diff_cover" TargetMode="External"/><Relationship Id="rId127" Type="http://schemas.openxmlformats.org/officeDocument/2006/relationships/hyperlink" Target="https://github.com/spotbugs/spotbugs" TargetMode="External"/><Relationship Id="rId313" Type="http://schemas.openxmlformats.org/officeDocument/2006/relationships/hyperlink" Target="https://github.com/ishepard/pydriller?utm_source=chatgpt.com" TargetMode="External"/><Relationship Id="rId10" Type="http://schemas.openxmlformats.org/officeDocument/2006/relationships/hyperlink" Target="https://github.com/semgrep/semgrep" TargetMode="External"/><Relationship Id="rId31" Type="http://schemas.openxmlformats.org/officeDocument/2006/relationships/hyperlink" Target="https://github.com/eslint-community/eslint-plugin-security" TargetMode="External"/><Relationship Id="rId52" Type="http://schemas.openxmlformats.org/officeDocument/2006/relationships/hyperlink" Target="https://github.com/eslint-community/eslint-plugin-security" TargetMode="External"/><Relationship Id="rId73" Type="http://schemas.openxmlformats.org/officeDocument/2006/relationships/hyperlink" Target="https://github.com/pmd/pmd" TargetMode="External"/><Relationship Id="rId94" Type="http://schemas.openxmlformats.org/officeDocument/2006/relationships/hyperlink" Target="https://github.com/checkstyle/checkstyle" TargetMode="External"/><Relationship Id="rId148" Type="http://schemas.openxmlformats.org/officeDocument/2006/relationships/hyperlink" Target="https://github.com/hcoles/pitest" TargetMode="External"/><Relationship Id="rId169" Type="http://schemas.openxmlformats.org/officeDocument/2006/relationships/hyperlink" Target="https://github.com/kucherenko/jscpd" TargetMode="External"/><Relationship Id="rId334" Type="http://schemas.openxmlformats.org/officeDocument/2006/relationships/hyperlink" Target="https://github.com/jacoco/jacoco" TargetMode="External"/><Relationship Id="rId355" Type="http://schemas.openxmlformats.org/officeDocument/2006/relationships/hyperlink" Target="https://open-telemetry.github.io/opentelemetry-js/modules/_opentelemetry_sdk-node.html" TargetMode="External"/><Relationship Id="rId4" Type="http://schemas.openxmlformats.org/officeDocument/2006/relationships/hyperlink" Target="https://github.com/dotnet/roslyn" TargetMode="External"/><Relationship Id="rId180" Type="http://schemas.openxmlformats.org/officeDocument/2006/relationships/hyperlink" Target="https://github.com/biomejs/biome" TargetMode="External"/><Relationship Id="rId215" Type="http://schemas.openxmlformats.org/officeDocument/2006/relationships/hyperlink" Target="https://github.com/coveragepy/coveragepy" TargetMode="External"/><Relationship Id="rId236" Type="http://schemas.openxmlformats.org/officeDocument/2006/relationships/hyperlink" Target="https://github.com/coveragepy/coveragepy" TargetMode="External"/><Relationship Id="rId257" Type="http://schemas.openxmlformats.org/officeDocument/2006/relationships/hyperlink" Target="https://github.com/istanbuljs/nyc" TargetMode="External"/><Relationship Id="rId278" Type="http://schemas.openxmlformats.org/officeDocument/2006/relationships/hyperlink" Target="https://github.com/pylint-dev/pylint" TargetMode="External"/><Relationship Id="rId303" Type="http://schemas.openxmlformats.org/officeDocument/2006/relationships/hyperlink" Target="https://github.com/pypa/pip-audit?utm_source=chatgpt.com" TargetMode="External"/><Relationship Id="rId42" Type="http://schemas.openxmlformats.org/officeDocument/2006/relationships/hyperlink" Target="https://github.com/eslint/eslint" TargetMode="External"/><Relationship Id="rId84" Type="http://schemas.openxmlformats.org/officeDocument/2006/relationships/hyperlink" Target="https://github.com/checkstyle/checkstyle" TargetMode="External"/><Relationship Id="rId138" Type="http://schemas.openxmlformats.org/officeDocument/2006/relationships/hyperlink" Target="https://github.com/jacoco/jacoco" TargetMode="External"/><Relationship Id="rId345" Type="http://schemas.openxmlformats.org/officeDocument/2006/relationships/hyperlink" Target="https://github.com/jacoco/jacoco" TargetMode="External"/><Relationship Id="rId191" Type="http://schemas.openxmlformats.org/officeDocument/2006/relationships/hyperlink" Target="https://github.com/eslint-community/eslint-plugin-security" TargetMode="External"/><Relationship Id="rId205" Type="http://schemas.openxmlformats.org/officeDocument/2006/relationships/hyperlink" Target="https://github.com/vitest-dev/vitest" TargetMode="External"/><Relationship Id="rId247" Type="http://schemas.openxmlformats.org/officeDocument/2006/relationships/hyperlink" Target="https://github.com/coveragepy/coveragepy" TargetMode="External"/><Relationship Id="rId107" Type="http://schemas.openxmlformats.org/officeDocument/2006/relationships/hyperlink" Target="https://github.com/spotbugs/spotbugs" TargetMode="External"/><Relationship Id="rId289" Type="http://schemas.openxmlformats.org/officeDocument/2006/relationships/hyperlink" Target="https://github.com/pylint-dev/pylint" TargetMode="External"/><Relationship Id="rId11" Type="http://schemas.openxmlformats.org/officeDocument/2006/relationships/hyperlink" Target="https://github.com/coverlet-coverage/coverlet" TargetMode="External"/><Relationship Id="rId53" Type="http://schemas.openxmlformats.org/officeDocument/2006/relationships/hyperlink" Target="https://github.com/eslint-community/eslint-plugin-security" TargetMode="External"/><Relationship Id="rId149" Type="http://schemas.openxmlformats.org/officeDocument/2006/relationships/hyperlink" Target="https://github.com/terryyin/lizard" TargetMode="External"/><Relationship Id="rId314" Type="http://schemas.openxmlformats.org/officeDocument/2006/relationships/hyperlink" Target="https://github.com/ishepard/pydriller?utm_source=chatgpt.com" TargetMode="External"/><Relationship Id="rId356" Type="http://schemas.openxmlformats.org/officeDocument/2006/relationships/hyperlink" Target="https://github.com/dubzzz/fast-check" TargetMode="External"/><Relationship Id="rId95" Type="http://schemas.openxmlformats.org/officeDocument/2006/relationships/hyperlink" Target="https://github.com/checkstyle/checkstyle" TargetMode="External"/><Relationship Id="rId160" Type="http://schemas.openxmlformats.org/officeDocument/2006/relationships/hyperlink" Target="https://github.com/SonarSource/SonarJS" TargetMode="External"/><Relationship Id="rId216" Type="http://schemas.openxmlformats.org/officeDocument/2006/relationships/hyperlink" Target="https://github.com/coveragepy/coveragepy" TargetMode="External"/><Relationship Id="rId258" Type="http://schemas.openxmlformats.org/officeDocument/2006/relationships/hyperlink" Target="https://github.com/istanbuljs/nyc" TargetMode="External"/><Relationship Id="rId22" Type="http://schemas.openxmlformats.org/officeDocument/2006/relationships/hyperlink" Target="https://github.com/ishepard/pydriller" TargetMode="External"/><Relationship Id="rId64" Type="http://schemas.openxmlformats.org/officeDocument/2006/relationships/hyperlink" Target="https://github.com/npm/cli" TargetMode="External"/><Relationship Id="rId118" Type="http://schemas.openxmlformats.org/officeDocument/2006/relationships/hyperlink" Target="https://github.com/dependency-check/DependencyCheck" TargetMode="External"/><Relationship Id="rId325" Type="http://schemas.openxmlformats.org/officeDocument/2006/relationships/hyperlink" Target="https://github.com/saeg/ba-dua%20%20,%20https:/github.com/jacoco/jacoco%20%20,%20https:/github.com/saeg/asm-defuse" TargetMode="External"/><Relationship Id="rId367" Type="http://schemas.openxmlformats.org/officeDocument/2006/relationships/hyperlink" Target="https://github.com/raineorshine/npm-check-updates" TargetMode="External"/><Relationship Id="rId171" Type="http://schemas.openxmlformats.org/officeDocument/2006/relationships/hyperlink" Target="https://github.com/kucherenko/jscpd" TargetMode="External"/><Relationship Id="rId227" Type="http://schemas.openxmlformats.org/officeDocument/2006/relationships/hyperlink" Target="https://github.com/coveragepy/coveragepy" TargetMode="External"/><Relationship Id="rId269" Type="http://schemas.openxmlformats.org/officeDocument/2006/relationships/hyperlink" Target="https://github.com/istanbuljs/nyc" TargetMode="External"/><Relationship Id="rId33" Type="http://schemas.openxmlformats.org/officeDocument/2006/relationships/hyperlink" Target="https://github.com/eslint-community/eslint-plugin-security" TargetMode="External"/><Relationship Id="rId129" Type="http://schemas.openxmlformats.org/officeDocument/2006/relationships/hyperlink" Target="https://github.com/spotbugs/spotbugs" TargetMode="External"/><Relationship Id="rId280" Type="http://schemas.openxmlformats.org/officeDocument/2006/relationships/hyperlink" Target="https://github.com/pylint-dev/pylint" TargetMode="External"/><Relationship Id="rId336" Type="http://schemas.openxmlformats.org/officeDocument/2006/relationships/hyperlink" Target="https://github.com/jacoco/jacoco%20,%20https:/github.com/spotbugs/spotbugs" TargetMode="External"/><Relationship Id="rId75" Type="http://schemas.openxmlformats.org/officeDocument/2006/relationships/hyperlink" Target="https://github.com/pmd/pmd" TargetMode="External"/><Relationship Id="rId140" Type="http://schemas.openxmlformats.org/officeDocument/2006/relationships/hyperlink" Target="https://github.com/jacoco/jacoco" TargetMode="External"/><Relationship Id="rId182" Type="http://schemas.openxmlformats.org/officeDocument/2006/relationships/hyperlink" Target="https://github.com/biomejs/biome" TargetMode="External"/><Relationship Id="rId6" Type="http://schemas.openxmlformats.org/officeDocument/2006/relationships/hyperlink" Target="https://github.com/kucherenko/jscpd" TargetMode="External"/><Relationship Id="rId238" Type="http://schemas.openxmlformats.org/officeDocument/2006/relationships/hyperlink" Target="https://github.com/coveragepy/coveragepy" TargetMode="External"/><Relationship Id="rId291" Type="http://schemas.openxmlformats.org/officeDocument/2006/relationships/hyperlink" Target="https://github.com/semgrep/semgrep" TargetMode="External"/><Relationship Id="rId305" Type="http://schemas.openxmlformats.org/officeDocument/2006/relationships/hyperlink" Target="https://github.com/sixty-north/cosmic-ray?utm_source=chatgpt.com" TargetMode="External"/><Relationship Id="rId347" Type="http://schemas.openxmlformats.org/officeDocument/2006/relationships/hyperlink" Target="https://github.com/jacoco/jacoco" TargetMode="External"/><Relationship Id="rId44" Type="http://schemas.openxmlformats.org/officeDocument/2006/relationships/hyperlink" Target="https://github.com/eslint/eslint" TargetMode="External"/><Relationship Id="rId86" Type="http://schemas.openxmlformats.org/officeDocument/2006/relationships/hyperlink" Target="https://github.com/checkstyle/checkstyle" TargetMode="External"/><Relationship Id="rId151" Type="http://schemas.openxmlformats.org/officeDocument/2006/relationships/hyperlink" Target="https://github.com/terryyin/lizard" TargetMode="External"/><Relationship Id="rId193" Type="http://schemas.openxmlformats.org/officeDocument/2006/relationships/hyperlink" Target="https://github.com/eslint-community/eslint-plugin-security" TargetMode="External"/><Relationship Id="rId207" Type="http://schemas.openxmlformats.org/officeDocument/2006/relationships/hyperlink" Target="https://github.com/stryker-mutator/stryker-js" TargetMode="External"/><Relationship Id="rId249" Type="http://schemas.openxmlformats.org/officeDocument/2006/relationships/hyperlink" Target="https://github.com/coveragepy/coveragepy" TargetMode="External"/><Relationship Id="rId13" Type="http://schemas.openxmlformats.org/officeDocument/2006/relationships/hyperlink" Target="https://github.com/open-telemetry/opentelemetry-dotnet" TargetMode="External"/><Relationship Id="rId109" Type="http://schemas.openxmlformats.org/officeDocument/2006/relationships/hyperlink" Target="https://github.com/ishepard/pydriller" TargetMode="External"/><Relationship Id="rId260" Type="http://schemas.openxmlformats.org/officeDocument/2006/relationships/hyperlink" Target="https://github.com/istanbuljs/nyc" TargetMode="External"/><Relationship Id="rId316" Type="http://schemas.openxmlformats.org/officeDocument/2006/relationships/hyperlink" Target="https://github.com/ishepard/pydriller?utm_source=chatgpt.com" TargetMode="External"/><Relationship Id="rId55" Type="http://schemas.openxmlformats.org/officeDocument/2006/relationships/hyperlink" Target="https://github.com/eslint-community/eslint-plugin-security" TargetMode="External"/><Relationship Id="rId97" Type="http://schemas.openxmlformats.org/officeDocument/2006/relationships/hyperlink" Target="https://github.com/spotbugs/spotbugs" TargetMode="External"/><Relationship Id="rId120" Type="http://schemas.openxmlformats.org/officeDocument/2006/relationships/hyperlink" Target="https://github.com/spotbugs/spotbugs" TargetMode="External"/><Relationship Id="rId358" Type="http://schemas.openxmlformats.org/officeDocument/2006/relationships/hyperlink" Target="https://github.com/webpro-nl/knip" TargetMode="External"/><Relationship Id="rId162" Type="http://schemas.openxmlformats.org/officeDocument/2006/relationships/hyperlink" Target="https://github.com/SonarSource/SonarJS" TargetMode="External"/><Relationship Id="rId218" Type="http://schemas.openxmlformats.org/officeDocument/2006/relationships/hyperlink" Target="https://github.com/coveragepy/coveragepy" TargetMode="External"/><Relationship Id="rId271" Type="http://schemas.openxmlformats.org/officeDocument/2006/relationships/hyperlink" Target="https://github.com/kucherenko/jscpd" TargetMode="External"/><Relationship Id="rId24" Type="http://schemas.openxmlformats.org/officeDocument/2006/relationships/hyperlink" Target="https://github.com/terryyin/lizard" TargetMode="External"/><Relationship Id="rId66" Type="http://schemas.openxmlformats.org/officeDocument/2006/relationships/hyperlink" Target="https://github.com/npm/cli" TargetMode="External"/><Relationship Id="rId131" Type="http://schemas.openxmlformats.org/officeDocument/2006/relationships/hyperlink" Target="https://github.com/spotbugs/spotbugs" TargetMode="External"/><Relationship Id="rId327" Type="http://schemas.openxmlformats.org/officeDocument/2006/relationships/hyperlink" Target="https://github.com/rohaquinlop/complexipy" TargetMode="External"/><Relationship Id="rId173" Type="http://schemas.openxmlformats.org/officeDocument/2006/relationships/hyperlink" Target="https://github.com/kucherenko/jscpd" TargetMode="External"/><Relationship Id="rId229" Type="http://schemas.openxmlformats.org/officeDocument/2006/relationships/hyperlink" Target="https://github.com/coveragepy/coveragepy" TargetMode="External"/><Relationship Id="rId240" Type="http://schemas.openxmlformats.org/officeDocument/2006/relationships/hyperlink" Target="https://github.com/coveragepy/coveragepy" TargetMode="External"/><Relationship Id="rId35" Type="http://schemas.openxmlformats.org/officeDocument/2006/relationships/hyperlink" Target="https://github.com/eslint-community/eslint-plugin-security" TargetMode="External"/><Relationship Id="rId77" Type="http://schemas.openxmlformats.org/officeDocument/2006/relationships/hyperlink" Target="https://github.com/pmd/pmd" TargetMode="External"/><Relationship Id="rId100" Type="http://schemas.openxmlformats.org/officeDocument/2006/relationships/hyperlink" Target="https://github.com/spotbugs/spotbugs" TargetMode="External"/><Relationship Id="rId282" Type="http://schemas.openxmlformats.org/officeDocument/2006/relationships/hyperlink" Target="https://github.com/pylint-dev/pylint" TargetMode="External"/><Relationship Id="rId338" Type="http://schemas.openxmlformats.org/officeDocument/2006/relationships/hyperlink" Target="https://github.com/dsherret/ts-morph" TargetMode="External"/><Relationship Id="rId8" Type="http://schemas.openxmlformats.org/officeDocument/2006/relationships/hyperlink" Target="https://github.com/dotnet/roslyn" TargetMode="External"/><Relationship Id="rId142" Type="http://schemas.openxmlformats.org/officeDocument/2006/relationships/hyperlink" Target="https://github.com/hcoles/pitest" TargetMode="External"/><Relationship Id="rId184" Type="http://schemas.openxmlformats.org/officeDocument/2006/relationships/hyperlink" Target="https://github.com/biomejs/biome" TargetMode="External"/><Relationship Id="rId251" Type="http://schemas.openxmlformats.org/officeDocument/2006/relationships/hyperlink" Target="https://github.com/coveragepy/coveragepy" TargetMode="External"/><Relationship Id="rId46" Type="http://schemas.openxmlformats.org/officeDocument/2006/relationships/hyperlink" Target="https://github.com/eslint/eslint" TargetMode="External"/><Relationship Id="rId293" Type="http://schemas.openxmlformats.org/officeDocument/2006/relationships/hyperlink" Target="https://github.com/semgrep/semgrep" TargetMode="External"/><Relationship Id="rId307" Type="http://schemas.openxmlformats.org/officeDocument/2006/relationships/hyperlink" Target="https://github.com/sixty-north/cosmic-ray?utm_source=chatgpt.com" TargetMode="External"/><Relationship Id="rId349" Type="http://schemas.openxmlformats.org/officeDocument/2006/relationships/hyperlink" Target="https://github.com/jacoco/jacoco" TargetMode="External"/><Relationship Id="rId88" Type="http://schemas.openxmlformats.org/officeDocument/2006/relationships/hyperlink" Target="https://github.com/checkstyle/checkstyle" TargetMode="External"/><Relationship Id="rId111" Type="http://schemas.openxmlformats.org/officeDocument/2006/relationships/hyperlink" Target="https://github.com/ishepard/pydriller" TargetMode="External"/><Relationship Id="rId153" Type="http://schemas.openxmlformats.org/officeDocument/2006/relationships/hyperlink" Target="https://github.com/terryyin/lizard" TargetMode="External"/><Relationship Id="rId195" Type="http://schemas.openxmlformats.org/officeDocument/2006/relationships/hyperlink" Target="https://github.com/stryker-mutator/stryker-js" TargetMode="External"/><Relationship Id="rId209" Type="http://schemas.openxmlformats.org/officeDocument/2006/relationships/hyperlink" Target="https://github.com/ishepard/pydriller" TargetMode="External"/><Relationship Id="rId360" Type="http://schemas.openxmlformats.org/officeDocument/2006/relationships/hyperlink" Target="https://github.com/cdxgen/cdx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showGridLines="0" workbookViewId="0">
      <pane ySplit="4" topLeftCell="A5" activePane="bottomLeft" state="frozen"/>
      <selection pane="bottomLeft" sqref="A1:K3"/>
    </sheetView>
  </sheetViews>
  <sheetFormatPr defaultColWidth="8.85546875" defaultRowHeight="15"/>
  <cols>
    <col min="1" max="1" width="14" customWidth="1"/>
    <col min="2" max="2" width="16" customWidth="1"/>
    <col min="3" max="3" width="20" customWidth="1"/>
    <col min="4" max="4" width="22" customWidth="1"/>
    <col min="5" max="5" width="24" customWidth="1"/>
    <col min="6" max="6" width="38" customWidth="1"/>
    <col min="7" max="9" width="20" customWidth="1"/>
    <col min="10" max="10" width="36" customWidth="1"/>
    <col min="11" max="11" width="22" customWidth="1"/>
  </cols>
  <sheetData>
    <row r="1" spans="1:11" ht="45" customHeight="1">
      <c r="A1" s="56" t="s">
        <v>0</v>
      </c>
      <c r="B1" s="75"/>
      <c r="C1" s="75"/>
      <c r="D1" s="75"/>
      <c r="E1" s="75"/>
      <c r="F1" s="75"/>
      <c r="G1" s="75"/>
      <c r="H1" s="75"/>
      <c r="I1" s="75"/>
      <c r="J1" s="75"/>
      <c r="K1" s="75"/>
    </row>
    <row r="2" spans="1:11" ht="0.95" customHeight="1">
      <c r="A2" s="75"/>
      <c r="B2" s="75"/>
      <c r="C2" s="75"/>
      <c r="D2" s="75"/>
      <c r="E2" s="75"/>
      <c r="F2" s="75"/>
      <c r="G2" s="75"/>
      <c r="H2" s="75"/>
      <c r="I2" s="75"/>
      <c r="J2" s="75"/>
      <c r="K2" s="75"/>
    </row>
    <row r="3" spans="1:11" ht="0.95" customHeight="1">
      <c r="A3" s="75"/>
      <c r="B3" s="75"/>
      <c r="C3" s="75"/>
      <c r="D3" s="75"/>
      <c r="E3" s="75"/>
      <c r="F3" s="75"/>
      <c r="G3" s="75"/>
      <c r="H3" s="75"/>
      <c r="I3" s="75"/>
      <c r="J3" s="75"/>
      <c r="K3" s="75"/>
    </row>
    <row r="4" spans="1:11" ht="20.100000000000001" customHeight="1">
      <c r="A4" s="57" t="s">
        <v>1</v>
      </c>
      <c r="B4" s="75"/>
      <c r="C4" s="75"/>
      <c r="D4" s="75"/>
      <c r="E4" s="75"/>
      <c r="F4" s="75"/>
      <c r="G4" s="75"/>
      <c r="H4" s="75"/>
      <c r="I4" s="75"/>
      <c r="J4" s="75"/>
      <c r="K4" s="75"/>
    </row>
    <row r="6" spans="1:11" ht="24" customHeight="1">
      <c r="A6" s="50" t="s">
        <v>2</v>
      </c>
      <c r="B6" s="75"/>
      <c r="C6" s="75"/>
      <c r="D6" s="75"/>
      <c r="E6" s="75"/>
      <c r="F6" s="75"/>
      <c r="G6" s="75"/>
      <c r="H6" s="75"/>
      <c r="I6" s="75"/>
      <c r="J6" s="75"/>
      <c r="K6" s="75"/>
    </row>
    <row r="7" spans="1:11" ht="20.100000000000001" customHeight="1">
      <c r="A7" s="51" t="s">
        <v>3</v>
      </c>
      <c r="B7" s="75"/>
      <c r="C7" s="75"/>
      <c r="D7" s="54" t="s">
        <v>4</v>
      </c>
      <c r="E7" s="75"/>
      <c r="F7" s="75"/>
      <c r="G7" s="75"/>
      <c r="H7" s="75"/>
      <c r="I7" s="75"/>
      <c r="J7" s="75"/>
      <c r="K7" s="75"/>
    </row>
    <row r="8" spans="1:11" ht="20.100000000000001" customHeight="1">
      <c r="A8" s="51" t="s">
        <v>5</v>
      </c>
      <c r="B8" s="75"/>
      <c r="C8" s="75"/>
      <c r="D8" s="54" t="s">
        <v>6</v>
      </c>
      <c r="E8" s="75"/>
      <c r="F8" s="75"/>
      <c r="G8" s="75"/>
      <c r="H8" s="75"/>
      <c r="I8" s="75"/>
      <c r="J8" s="75"/>
      <c r="K8" s="75"/>
    </row>
    <row r="9" spans="1:11" ht="20.100000000000001" customHeight="1">
      <c r="A9" s="51" t="s">
        <v>7</v>
      </c>
      <c r="B9" s="75"/>
      <c r="C9" s="75"/>
      <c r="D9" s="54" t="s">
        <v>8</v>
      </c>
      <c r="E9" s="75"/>
      <c r="F9" s="75"/>
      <c r="G9" s="75"/>
      <c r="H9" s="75"/>
      <c r="I9" s="75"/>
      <c r="J9" s="75"/>
      <c r="K9" s="75"/>
    </row>
    <row r="10" spans="1:11" ht="20.100000000000001" customHeight="1">
      <c r="A10" s="51" t="s">
        <v>9</v>
      </c>
      <c r="B10" s="75"/>
      <c r="C10" s="75"/>
      <c r="D10" s="54" t="s">
        <v>10</v>
      </c>
      <c r="E10" s="75"/>
      <c r="F10" s="75"/>
      <c r="G10" s="75"/>
      <c r="H10" s="75"/>
      <c r="I10" s="75"/>
      <c r="J10" s="75"/>
      <c r="K10" s="75"/>
    </row>
    <row r="11" spans="1:11" ht="20.100000000000001" customHeight="1">
      <c r="A11" s="51" t="s">
        <v>11</v>
      </c>
      <c r="B11" s="75"/>
      <c r="C11" s="75"/>
      <c r="D11" s="54" t="s">
        <v>12</v>
      </c>
      <c r="E11" s="75"/>
      <c r="F11" s="75"/>
      <c r="G11" s="75"/>
      <c r="H11" s="75"/>
      <c r="I11" s="75"/>
      <c r="J11" s="75"/>
      <c r="K11" s="75"/>
    </row>
    <row r="13" spans="1:11" ht="24" customHeight="1">
      <c r="A13" s="55" t="s">
        <v>13</v>
      </c>
      <c r="B13" s="75"/>
      <c r="C13" s="75"/>
      <c r="D13" s="75"/>
      <c r="E13" s="75"/>
      <c r="F13" s="75"/>
      <c r="G13" s="75"/>
      <c r="H13" s="75"/>
      <c r="I13" s="75"/>
      <c r="J13" s="75"/>
      <c r="K13" s="75"/>
    </row>
    <row r="14" spans="1:11" ht="21.95" customHeight="1">
      <c r="A14" s="48" t="s">
        <v>14</v>
      </c>
      <c r="B14" s="76"/>
      <c r="C14" s="77"/>
      <c r="D14" s="46" t="s">
        <v>15</v>
      </c>
      <c r="E14" s="76"/>
      <c r="F14" s="76"/>
      <c r="G14" s="76"/>
      <c r="H14" s="76"/>
      <c r="I14" s="76"/>
      <c r="J14" s="76"/>
      <c r="K14" s="77"/>
    </row>
    <row r="15" spans="1:11" ht="21.95" customHeight="1">
      <c r="A15" s="49" t="s">
        <v>16</v>
      </c>
      <c r="B15" s="76"/>
      <c r="C15" s="77"/>
      <c r="D15" s="47" t="s">
        <v>17</v>
      </c>
      <c r="E15" s="76"/>
      <c r="F15" s="76"/>
      <c r="G15" s="76"/>
      <c r="H15" s="76"/>
      <c r="I15" s="76"/>
      <c r="J15" s="76"/>
      <c r="K15" s="77"/>
    </row>
    <row r="16" spans="1:11" ht="21.95" customHeight="1">
      <c r="A16" s="48" t="s">
        <v>18</v>
      </c>
      <c r="B16" s="76"/>
      <c r="C16" s="77"/>
      <c r="D16" s="46" t="s">
        <v>19</v>
      </c>
      <c r="E16" s="76"/>
      <c r="F16" s="76"/>
      <c r="G16" s="76"/>
      <c r="H16" s="76"/>
      <c r="I16" s="76"/>
      <c r="J16" s="76"/>
      <c r="K16" s="77"/>
    </row>
    <row r="17" spans="1:11" ht="21.95" customHeight="1">
      <c r="A17" s="49" t="s">
        <v>20</v>
      </c>
      <c r="B17" s="76"/>
      <c r="C17" s="77"/>
      <c r="D17" s="47" t="s">
        <v>21</v>
      </c>
      <c r="E17" s="76"/>
      <c r="F17" s="76"/>
      <c r="G17" s="76"/>
      <c r="H17" s="76"/>
      <c r="I17" s="76"/>
      <c r="J17" s="76"/>
      <c r="K17" s="77"/>
    </row>
    <row r="18" spans="1:11" ht="21.95" customHeight="1">
      <c r="A18" s="48" t="s">
        <v>22</v>
      </c>
      <c r="B18" s="76"/>
      <c r="C18" s="77"/>
      <c r="D18" s="46" t="s">
        <v>23</v>
      </c>
      <c r="E18" s="76"/>
      <c r="F18" s="76"/>
      <c r="G18" s="76"/>
      <c r="H18" s="76"/>
      <c r="I18" s="76"/>
      <c r="J18" s="76"/>
      <c r="K18" s="77"/>
    </row>
    <row r="19" spans="1:11" ht="21.95" customHeight="1">
      <c r="A19" s="49" t="s">
        <v>24</v>
      </c>
      <c r="B19" s="76"/>
      <c r="C19" s="77"/>
      <c r="D19" s="47" t="s">
        <v>25</v>
      </c>
      <c r="E19" s="76"/>
      <c r="F19" s="76"/>
      <c r="G19" s="76"/>
      <c r="H19" s="76"/>
      <c r="I19" s="76"/>
      <c r="J19" s="76"/>
      <c r="K19" s="77"/>
    </row>
    <row r="20" spans="1:11" ht="21.95" customHeight="1">
      <c r="A20" s="48" t="s">
        <v>26</v>
      </c>
      <c r="B20" s="76"/>
      <c r="C20" s="77"/>
      <c r="D20" s="46" t="s">
        <v>27</v>
      </c>
      <c r="E20" s="76"/>
      <c r="F20" s="76"/>
      <c r="G20" s="76"/>
      <c r="H20" s="76"/>
      <c r="I20" s="76"/>
      <c r="J20" s="76"/>
      <c r="K20" s="77"/>
    </row>
    <row r="21" spans="1:11" ht="21.95" customHeight="1">
      <c r="A21" s="49" t="s">
        <v>28</v>
      </c>
      <c r="B21" s="76"/>
      <c r="C21" s="77"/>
      <c r="D21" s="47" t="s">
        <v>29</v>
      </c>
      <c r="E21" s="76"/>
      <c r="F21" s="76"/>
      <c r="G21" s="76"/>
      <c r="H21" s="76"/>
      <c r="I21" s="76"/>
      <c r="J21" s="76"/>
      <c r="K21" s="77"/>
    </row>
    <row r="22" spans="1:11" ht="21.95" customHeight="1">
      <c r="A22" s="48" t="s">
        <v>30</v>
      </c>
      <c r="B22" s="76"/>
      <c r="C22" s="77"/>
      <c r="D22" s="46" t="s">
        <v>31</v>
      </c>
      <c r="E22" s="76"/>
      <c r="F22" s="76"/>
      <c r="G22" s="76"/>
      <c r="H22" s="76"/>
      <c r="I22" s="76"/>
      <c r="J22" s="76"/>
      <c r="K22" s="77"/>
    </row>
    <row r="23" spans="1:11" ht="21.95" customHeight="1">
      <c r="A23" s="49" t="s">
        <v>32</v>
      </c>
      <c r="B23" s="76"/>
      <c r="C23" s="77"/>
      <c r="D23" s="47" t="s">
        <v>33</v>
      </c>
      <c r="E23" s="76"/>
      <c r="F23" s="76"/>
      <c r="G23" s="76"/>
      <c r="H23" s="76"/>
      <c r="I23" s="76"/>
      <c r="J23" s="76"/>
      <c r="K23" s="77"/>
    </row>
    <row r="24" spans="1:11" ht="21.95" customHeight="1">
      <c r="A24" s="48" t="s">
        <v>34</v>
      </c>
      <c r="B24" s="76"/>
      <c r="C24" s="77"/>
      <c r="D24" s="46" t="s">
        <v>35</v>
      </c>
      <c r="E24" s="76"/>
      <c r="F24" s="76"/>
      <c r="G24" s="76"/>
      <c r="H24" s="76"/>
      <c r="I24" s="76"/>
      <c r="J24" s="76"/>
      <c r="K24" s="77"/>
    </row>
    <row r="25" spans="1:11" ht="21.95" customHeight="1">
      <c r="A25" s="49" t="s">
        <v>36</v>
      </c>
      <c r="B25" s="76"/>
      <c r="C25" s="77"/>
      <c r="D25" s="47" t="s">
        <v>37</v>
      </c>
      <c r="E25" s="76"/>
      <c r="F25" s="76"/>
      <c r="G25" s="76"/>
      <c r="H25" s="76"/>
      <c r="I25" s="76"/>
      <c r="J25" s="76"/>
      <c r="K25" s="77"/>
    </row>
    <row r="26" spans="1:11" ht="21.95" customHeight="1">
      <c r="A26" s="48" t="s">
        <v>38</v>
      </c>
      <c r="B26" s="76"/>
      <c r="C26" s="77"/>
      <c r="D26" s="46" t="s">
        <v>39</v>
      </c>
      <c r="E26" s="76"/>
      <c r="F26" s="76"/>
      <c r="G26" s="76"/>
      <c r="H26" s="76"/>
      <c r="I26" s="76"/>
      <c r="J26" s="76"/>
      <c r="K26" s="77"/>
    </row>
    <row r="27" spans="1:11" ht="21.95" customHeight="1">
      <c r="A27" s="49" t="s">
        <v>40</v>
      </c>
      <c r="B27" s="76"/>
      <c r="C27" s="77"/>
      <c r="D27" s="47" t="s">
        <v>41</v>
      </c>
      <c r="E27" s="76"/>
      <c r="F27" s="76"/>
      <c r="G27" s="76"/>
      <c r="H27" s="76"/>
      <c r="I27" s="76"/>
      <c r="J27" s="76"/>
      <c r="K27" s="77"/>
    </row>
    <row r="29" spans="1:11" ht="24" customHeight="1">
      <c r="A29" s="50" t="s">
        <v>42</v>
      </c>
      <c r="B29" s="75"/>
      <c r="C29" s="75"/>
      <c r="D29" s="75"/>
      <c r="E29" s="75"/>
      <c r="F29" s="75"/>
      <c r="G29" s="75"/>
      <c r="H29" s="75"/>
      <c r="I29" s="75"/>
      <c r="J29" s="75"/>
      <c r="K29" s="75"/>
    </row>
    <row r="30" spans="1:11" ht="21.95" customHeight="1">
      <c r="A30" s="53" t="s">
        <v>43</v>
      </c>
      <c r="B30" s="76"/>
      <c r="C30" s="77"/>
      <c r="D30" s="52" t="s">
        <v>44</v>
      </c>
      <c r="E30" s="76"/>
      <c r="F30" s="76"/>
      <c r="G30" s="76"/>
      <c r="H30" s="76"/>
      <c r="I30" s="76"/>
      <c r="J30" s="76"/>
      <c r="K30" s="77"/>
    </row>
    <row r="31" spans="1:11" ht="21.95" customHeight="1">
      <c r="A31" s="49" t="s">
        <v>45</v>
      </c>
      <c r="B31" s="76"/>
      <c r="C31" s="77"/>
      <c r="D31" s="47" t="s">
        <v>46</v>
      </c>
      <c r="E31" s="76"/>
      <c r="F31" s="76"/>
      <c r="G31" s="76"/>
      <c r="H31" s="76"/>
      <c r="I31" s="76"/>
      <c r="J31" s="76"/>
      <c r="K31" s="77"/>
    </row>
    <row r="32" spans="1:11" ht="21.95" customHeight="1">
      <c r="A32" s="53" t="s">
        <v>47</v>
      </c>
      <c r="B32" s="76"/>
      <c r="C32" s="77"/>
      <c r="D32" s="52" t="s">
        <v>48</v>
      </c>
      <c r="E32" s="76"/>
      <c r="F32" s="76"/>
      <c r="G32" s="76"/>
      <c r="H32" s="76"/>
      <c r="I32" s="76"/>
      <c r="J32" s="76"/>
      <c r="K32" s="77"/>
    </row>
    <row r="33" spans="1:11" ht="21.95" customHeight="1">
      <c r="A33" s="49" t="s">
        <v>49</v>
      </c>
      <c r="B33" s="76"/>
      <c r="C33" s="77"/>
      <c r="D33" s="47" t="s">
        <v>50</v>
      </c>
      <c r="E33" s="76"/>
      <c r="F33" s="76"/>
      <c r="G33" s="76"/>
      <c r="H33" s="76"/>
      <c r="I33" s="76"/>
      <c r="J33" s="76"/>
      <c r="K33" s="77"/>
    </row>
  </sheetData>
  <mergeCells count="51">
    <mergeCell ref="A1:K3"/>
    <mergeCell ref="A6:K6"/>
    <mergeCell ref="A4:K4"/>
    <mergeCell ref="D8:K8"/>
    <mergeCell ref="A33:C33"/>
    <mergeCell ref="D21:K21"/>
    <mergeCell ref="A23:C23"/>
    <mergeCell ref="A32:C32"/>
    <mergeCell ref="A8:C8"/>
    <mergeCell ref="A14:C14"/>
    <mergeCell ref="D11:K11"/>
    <mergeCell ref="A22:C22"/>
    <mergeCell ref="A17:C17"/>
    <mergeCell ref="D27:K27"/>
    <mergeCell ref="D32:K32"/>
    <mergeCell ref="A20:C20"/>
    <mergeCell ref="A7:C7"/>
    <mergeCell ref="D7:K7"/>
    <mergeCell ref="D16:K16"/>
    <mergeCell ref="A9:C9"/>
    <mergeCell ref="A13:K13"/>
    <mergeCell ref="D10:K10"/>
    <mergeCell ref="A15:C15"/>
    <mergeCell ref="D9:K9"/>
    <mergeCell ref="D33:K33"/>
    <mergeCell ref="A29:K29"/>
    <mergeCell ref="D24:K24"/>
    <mergeCell ref="A10:C10"/>
    <mergeCell ref="D17:K17"/>
    <mergeCell ref="A11:C11"/>
    <mergeCell ref="D30:K30"/>
    <mergeCell ref="A30:C30"/>
    <mergeCell ref="A24:C24"/>
    <mergeCell ref="D18:K18"/>
    <mergeCell ref="D25:K25"/>
    <mergeCell ref="D14:K14"/>
    <mergeCell ref="D23:K23"/>
    <mergeCell ref="A16:C16"/>
    <mergeCell ref="A31:C31"/>
    <mergeCell ref="A27:C27"/>
    <mergeCell ref="A21:C21"/>
    <mergeCell ref="D22:K22"/>
    <mergeCell ref="D31:K31"/>
    <mergeCell ref="A26:C26"/>
    <mergeCell ref="A25:C25"/>
    <mergeCell ref="D26:K26"/>
    <mergeCell ref="D20:K20"/>
    <mergeCell ref="D19:K19"/>
    <mergeCell ref="D15:K15"/>
    <mergeCell ref="A18:C18"/>
    <mergeCell ref="A19:C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H114"/>
  <sheetViews>
    <sheetView showGridLines="0" tabSelected="1" zoomScale="130" zoomScaleNormal="130" workbookViewId="0">
      <pane ySplit="4" topLeftCell="A5" activePane="bottomLeft" state="frozen"/>
      <selection pane="bottomLeft" activeCell="F7" sqref="F7"/>
    </sheetView>
  </sheetViews>
  <sheetFormatPr defaultColWidth="8.85546875" defaultRowHeight="15"/>
  <cols>
    <col min="1" max="1" width="14" customWidth="1"/>
    <col min="2" max="2" width="22" customWidth="1"/>
    <col min="3" max="3" width="24" customWidth="1"/>
    <col min="4" max="5" width="26" customWidth="1"/>
    <col min="6" max="6" width="48.7109375" customWidth="1"/>
    <col min="7" max="7" width="20.28515625" bestFit="1" customWidth="1"/>
    <col min="8" max="8" width="16.28515625" customWidth="1"/>
    <col min="9" max="9" width="25.85546875" customWidth="1"/>
    <col min="10" max="10" width="46.85546875" customWidth="1"/>
    <col min="11" max="17" width="22" customWidth="1"/>
    <col min="18" max="18" width="47.140625" customWidth="1"/>
    <col min="19" max="19" width="21.7109375" customWidth="1"/>
    <col min="20" max="21" width="22" customWidth="1"/>
    <col min="22" max="22" width="76.28515625" customWidth="1"/>
    <col min="23" max="25" width="22" customWidth="1"/>
    <col min="26" max="26" width="39" customWidth="1"/>
    <col min="27" max="28" width="22" customWidth="1"/>
    <col min="29" max="29" width="31.85546875" customWidth="1"/>
    <col min="30" max="30" width="45.42578125" customWidth="1"/>
    <col min="31" max="31" width="36" customWidth="1"/>
    <col min="32" max="33" width="30" customWidth="1"/>
    <col min="34" max="34" width="18" customWidth="1"/>
  </cols>
  <sheetData>
    <row r="1" spans="1:34" ht="27.95" customHeight="1">
      <c r="A1" s="40"/>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row>
    <row r="2" spans="1:34" ht="18" customHeight="1">
      <c r="A2" s="41" t="s">
        <v>51</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row>
    <row r="3" spans="1:34" ht="38.1" customHeight="1">
      <c r="A3" s="39" t="s">
        <v>14</v>
      </c>
      <c r="B3" s="39" t="s">
        <v>16</v>
      </c>
      <c r="C3" s="39" t="s">
        <v>18</v>
      </c>
      <c r="D3" s="39" t="s">
        <v>20</v>
      </c>
      <c r="E3" s="39" t="s">
        <v>22</v>
      </c>
      <c r="F3" s="39" t="s">
        <v>24</v>
      </c>
      <c r="G3" s="37" t="s">
        <v>52</v>
      </c>
      <c r="H3" s="77"/>
      <c r="I3" s="42" t="s">
        <v>53</v>
      </c>
      <c r="J3" s="43" t="s">
        <v>54</v>
      </c>
      <c r="K3" s="37" t="s">
        <v>55</v>
      </c>
      <c r="L3" s="38"/>
      <c r="M3" s="37" t="s">
        <v>56</v>
      </c>
      <c r="N3" s="77"/>
      <c r="O3" s="37" t="s">
        <v>57</v>
      </c>
      <c r="P3" s="77"/>
      <c r="Q3" s="44" t="s">
        <v>58</v>
      </c>
      <c r="R3" s="44" t="s">
        <v>54</v>
      </c>
      <c r="S3" s="37" t="s">
        <v>59</v>
      </c>
      <c r="T3" s="77"/>
      <c r="U3" s="44" t="s">
        <v>58</v>
      </c>
      <c r="V3" s="44" t="s">
        <v>54</v>
      </c>
      <c r="W3" s="37" t="s">
        <v>60</v>
      </c>
      <c r="X3" s="77"/>
      <c r="Y3" s="44" t="s">
        <v>58</v>
      </c>
      <c r="Z3" s="44" t="s">
        <v>54</v>
      </c>
      <c r="AA3" s="37" t="s">
        <v>61</v>
      </c>
      <c r="AB3" s="77"/>
      <c r="AC3" s="44" t="s">
        <v>58</v>
      </c>
      <c r="AD3" s="44" t="s">
        <v>54</v>
      </c>
      <c r="AE3" s="39" t="s">
        <v>34</v>
      </c>
      <c r="AF3" s="39" t="s">
        <v>36</v>
      </c>
      <c r="AG3" s="39" t="s">
        <v>38</v>
      </c>
      <c r="AH3" s="39" t="s">
        <v>40</v>
      </c>
    </row>
    <row r="4" spans="1:34" ht="21.95" customHeight="1">
      <c r="A4" s="78"/>
      <c r="B4" s="78"/>
      <c r="C4" s="78"/>
      <c r="D4" s="78"/>
      <c r="E4" s="78"/>
      <c r="F4" s="78"/>
      <c r="G4" s="5" t="s">
        <v>62</v>
      </c>
      <c r="H4" s="4" t="s">
        <v>63</v>
      </c>
      <c r="I4" s="42"/>
      <c r="J4" s="43"/>
      <c r="K4" s="5" t="s">
        <v>62</v>
      </c>
      <c r="L4" s="4" t="s">
        <v>63</v>
      </c>
      <c r="M4" s="5" t="s">
        <v>62</v>
      </c>
      <c r="N4" s="4" t="s">
        <v>63</v>
      </c>
      <c r="O4" s="5" t="s">
        <v>62</v>
      </c>
      <c r="P4" s="4" t="s">
        <v>63</v>
      </c>
      <c r="Q4" s="45"/>
      <c r="R4" s="45"/>
      <c r="S4" s="5" t="s">
        <v>62</v>
      </c>
      <c r="T4" s="4" t="s">
        <v>63</v>
      </c>
      <c r="U4" s="45"/>
      <c r="V4" s="45"/>
      <c r="W4" s="5" t="s">
        <v>62</v>
      </c>
      <c r="X4" s="4" t="s">
        <v>63</v>
      </c>
      <c r="Y4" s="45"/>
      <c r="Z4" s="45"/>
      <c r="AA4" s="5" t="s">
        <v>62</v>
      </c>
      <c r="AB4" s="4" t="s">
        <v>63</v>
      </c>
      <c r="AC4" s="45"/>
      <c r="AD4" s="45"/>
      <c r="AE4" s="78"/>
      <c r="AF4" s="78"/>
      <c r="AG4" s="78"/>
      <c r="AH4" s="78"/>
    </row>
    <row r="5" spans="1:34" ht="20.100000000000001" customHeight="1">
      <c r="A5" s="35" t="s">
        <v>64</v>
      </c>
      <c r="B5" s="35"/>
      <c r="C5" s="35"/>
      <c r="D5" s="35"/>
      <c r="E5" s="36"/>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ht="83.25" customHeight="1">
      <c r="A6" s="2" t="s">
        <v>43</v>
      </c>
      <c r="B6" s="2" t="s">
        <v>65</v>
      </c>
      <c r="C6" s="2" t="s">
        <v>66</v>
      </c>
      <c r="D6" s="2" t="s">
        <v>67</v>
      </c>
      <c r="E6" s="2" t="s">
        <v>68</v>
      </c>
      <c r="F6" s="2" t="s">
        <v>69</v>
      </c>
      <c r="G6" s="28" t="s">
        <v>70</v>
      </c>
      <c r="H6" s="2" t="s">
        <v>71</v>
      </c>
      <c r="I6" s="2" t="s">
        <v>72</v>
      </c>
      <c r="J6" s="31" t="s">
        <v>73</v>
      </c>
      <c r="K6" s="2" t="s">
        <v>74</v>
      </c>
      <c r="L6" s="2" t="s">
        <v>75</v>
      </c>
      <c r="M6" s="2" t="s">
        <v>76</v>
      </c>
      <c r="N6" s="2" t="s">
        <v>75</v>
      </c>
      <c r="O6" s="28" t="s">
        <v>77</v>
      </c>
      <c r="P6" s="2" t="s">
        <v>78</v>
      </c>
      <c r="Q6" s="2" t="s">
        <v>79</v>
      </c>
      <c r="R6" s="2" t="s">
        <v>80</v>
      </c>
      <c r="S6" s="28" t="s">
        <v>74</v>
      </c>
      <c r="T6" s="2" t="s">
        <v>81</v>
      </c>
      <c r="U6" s="2" t="s">
        <v>72</v>
      </c>
      <c r="V6" s="30" t="s">
        <v>82</v>
      </c>
      <c r="W6" s="28" t="s">
        <v>76</v>
      </c>
      <c r="X6" s="2" t="s">
        <v>83</v>
      </c>
      <c r="Y6" s="2" t="s">
        <v>72</v>
      </c>
      <c r="Z6" s="2" t="s">
        <v>82</v>
      </c>
      <c r="AA6" s="28" t="s">
        <v>76</v>
      </c>
      <c r="AB6" s="2" t="s">
        <v>83</v>
      </c>
      <c r="AC6" s="2" t="s">
        <v>72</v>
      </c>
      <c r="AD6" s="2" t="s">
        <v>82</v>
      </c>
      <c r="AE6" s="12" t="s">
        <v>84</v>
      </c>
      <c r="AF6" s="12" t="s">
        <v>85</v>
      </c>
      <c r="AG6" s="12" t="s">
        <v>86</v>
      </c>
      <c r="AH6" s="12" t="s">
        <v>87</v>
      </c>
    </row>
    <row r="7" spans="1:34" ht="77.25" customHeight="1">
      <c r="A7" s="1" t="s">
        <v>43</v>
      </c>
      <c r="B7" s="1" t="s">
        <v>65</v>
      </c>
      <c r="C7" s="1" t="s">
        <v>66</v>
      </c>
      <c r="D7" s="1" t="s">
        <v>88</v>
      </c>
      <c r="E7" s="34" t="s">
        <v>89</v>
      </c>
      <c r="F7" s="1" t="s">
        <v>90</v>
      </c>
      <c r="G7" s="29" t="s">
        <v>91</v>
      </c>
      <c r="H7" s="1" t="s">
        <v>71</v>
      </c>
      <c r="I7" s="1" t="s">
        <v>72</v>
      </c>
      <c r="J7" s="1" t="s">
        <v>92</v>
      </c>
      <c r="K7" s="1" t="s">
        <v>74</v>
      </c>
      <c r="L7" s="1" t="s">
        <v>75</v>
      </c>
      <c r="M7" s="1" t="s">
        <v>76</v>
      </c>
      <c r="N7" s="1" t="s">
        <v>75</v>
      </c>
      <c r="O7" s="29" t="s">
        <v>77</v>
      </c>
      <c r="P7" s="1" t="s">
        <v>78</v>
      </c>
      <c r="Q7" s="1" t="s">
        <v>72</v>
      </c>
      <c r="R7" s="1" t="s">
        <v>93</v>
      </c>
      <c r="S7" s="28" t="s">
        <v>74</v>
      </c>
      <c r="T7" s="1" t="s">
        <v>81</v>
      </c>
      <c r="U7" s="1" t="s">
        <v>72</v>
      </c>
      <c r="V7" s="30" t="s">
        <v>94</v>
      </c>
      <c r="W7" s="29" t="s">
        <v>76</v>
      </c>
      <c r="X7" s="1" t="s">
        <v>83</v>
      </c>
      <c r="Y7" s="1" t="s">
        <v>72</v>
      </c>
      <c r="Z7" s="1" t="s">
        <v>94</v>
      </c>
      <c r="AA7" s="29" t="s">
        <v>76</v>
      </c>
      <c r="AB7" s="1" t="s">
        <v>83</v>
      </c>
      <c r="AC7" s="1" t="s">
        <v>72</v>
      </c>
      <c r="AD7" s="1" t="s">
        <v>94</v>
      </c>
      <c r="AE7" s="1" t="s">
        <v>95</v>
      </c>
      <c r="AF7" s="1" t="s">
        <v>96</v>
      </c>
      <c r="AG7" s="1" t="s">
        <v>97</v>
      </c>
      <c r="AH7" s="1" t="s">
        <v>87</v>
      </c>
    </row>
    <row r="8" spans="1:34" ht="78.75" customHeight="1">
      <c r="A8" s="2" t="s">
        <v>43</v>
      </c>
      <c r="B8" s="2" t="s">
        <v>65</v>
      </c>
      <c r="C8" s="2" t="s">
        <v>66</v>
      </c>
      <c r="D8" s="2" t="s">
        <v>98</v>
      </c>
      <c r="E8" s="2" t="s">
        <v>99</v>
      </c>
      <c r="F8" s="2" t="s">
        <v>100</v>
      </c>
      <c r="G8" s="28" t="s">
        <v>101</v>
      </c>
      <c r="H8" s="2" t="s">
        <v>71</v>
      </c>
      <c r="I8" s="2" t="s">
        <v>72</v>
      </c>
      <c r="J8" s="2" t="s">
        <v>102</v>
      </c>
      <c r="K8" s="2" t="s">
        <v>74</v>
      </c>
      <c r="L8" s="2" t="s">
        <v>75</v>
      </c>
      <c r="M8" s="2" t="s">
        <v>76</v>
      </c>
      <c r="N8" s="2" t="s">
        <v>75</v>
      </c>
      <c r="O8" s="28" t="s">
        <v>77</v>
      </c>
      <c r="P8" s="2" t="s">
        <v>78</v>
      </c>
      <c r="Q8" s="2" t="s">
        <v>79</v>
      </c>
      <c r="R8" s="2" t="s">
        <v>103</v>
      </c>
      <c r="S8" s="28" t="s">
        <v>74</v>
      </c>
      <c r="T8" s="2" t="s">
        <v>81</v>
      </c>
      <c r="U8" s="2" t="s">
        <v>72</v>
      </c>
      <c r="V8" s="31" t="s">
        <v>104</v>
      </c>
      <c r="W8" s="29" t="s">
        <v>76</v>
      </c>
      <c r="X8" s="2" t="s">
        <v>83</v>
      </c>
      <c r="Y8" s="2" t="s">
        <v>72</v>
      </c>
      <c r="Z8" s="31" t="s">
        <v>104</v>
      </c>
      <c r="AA8" s="28" t="s">
        <v>76</v>
      </c>
      <c r="AB8" s="2" t="s">
        <v>83</v>
      </c>
      <c r="AC8" s="2" t="s">
        <v>72</v>
      </c>
      <c r="AD8" s="31" t="s">
        <v>104</v>
      </c>
      <c r="AE8" s="2" t="s">
        <v>105</v>
      </c>
      <c r="AF8" s="2" t="s">
        <v>106</v>
      </c>
      <c r="AG8" s="2" t="s">
        <v>107</v>
      </c>
      <c r="AH8" s="2" t="s">
        <v>87</v>
      </c>
    </row>
    <row r="9" spans="1:34" ht="90" customHeight="1">
      <c r="A9" s="1" t="s">
        <v>43</v>
      </c>
      <c r="B9" s="1" t="s">
        <v>65</v>
      </c>
      <c r="C9" s="31" t="s">
        <v>66</v>
      </c>
      <c r="D9" s="1" t="s">
        <v>108</v>
      </c>
      <c r="E9" s="33" t="s">
        <v>109</v>
      </c>
      <c r="F9" s="1" t="s">
        <v>110</v>
      </c>
      <c r="G9" s="29" t="s">
        <v>70</v>
      </c>
      <c r="H9" s="1" t="s">
        <v>71</v>
      </c>
      <c r="I9" s="1" t="s">
        <v>72</v>
      </c>
      <c r="J9" s="31" t="s">
        <v>111</v>
      </c>
      <c r="K9" s="1" t="s">
        <v>74</v>
      </c>
      <c r="L9" s="1" t="s">
        <v>75</v>
      </c>
      <c r="M9" s="1" t="s">
        <v>76</v>
      </c>
      <c r="N9" s="1" t="s">
        <v>75</v>
      </c>
      <c r="O9" s="29" t="s">
        <v>77</v>
      </c>
      <c r="P9" s="1" t="s">
        <v>78</v>
      </c>
      <c r="Q9" s="1" t="s">
        <v>72</v>
      </c>
      <c r="R9" s="1" t="s">
        <v>112</v>
      </c>
      <c r="S9" s="28" t="s">
        <v>74</v>
      </c>
      <c r="T9" s="1" t="s">
        <v>81</v>
      </c>
      <c r="U9" s="1" t="s">
        <v>72</v>
      </c>
      <c r="V9" s="31" t="s">
        <v>113</v>
      </c>
      <c r="W9" s="29" t="s">
        <v>76</v>
      </c>
      <c r="X9" s="1" t="s">
        <v>83</v>
      </c>
      <c r="Y9" s="1" t="s">
        <v>72</v>
      </c>
      <c r="Z9" s="31" t="s">
        <v>113</v>
      </c>
      <c r="AA9" s="29" t="s">
        <v>76</v>
      </c>
      <c r="AB9" s="1" t="s">
        <v>83</v>
      </c>
      <c r="AC9" s="1" t="s">
        <v>72</v>
      </c>
      <c r="AD9" s="31" t="s">
        <v>113</v>
      </c>
      <c r="AE9" s="1" t="s">
        <v>114</v>
      </c>
      <c r="AF9" s="1" t="s">
        <v>115</v>
      </c>
      <c r="AG9" s="1" t="s">
        <v>116</v>
      </c>
      <c r="AH9" s="1" t="s">
        <v>87</v>
      </c>
    </row>
    <row r="10" spans="1:34" ht="142.5" customHeight="1">
      <c r="A10" s="2" t="s">
        <v>43</v>
      </c>
      <c r="B10" s="2" t="s">
        <v>65</v>
      </c>
      <c r="C10" s="31" t="s">
        <v>66</v>
      </c>
      <c r="D10" s="2" t="s">
        <v>117</v>
      </c>
      <c r="E10" s="2" t="s">
        <v>118</v>
      </c>
      <c r="F10" s="2" t="s">
        <v>119</v>
      </c>
      <c r="G10" s="28" t="s">
        <v>120</v>
      </c>
      <c r="H10" s="2" t="s">
        <v>71</v>
      </c>
      <c r="I10" s="2" t="s">
        <v>72</v>
      </c>
      <c r="J10" s="2" t="s">
        <v>121</v>
      </c>
      <c r="K10" s="2" t="s">
        <v>74</v>
      </c>
      <c r="L10" s="2" t="s">
        <v>75</v>
      </c>
      <c r="M10" s="2" t="s">
        <v>76</v>
      </c>
      <c r="N10" s="2" t="s">
        <v>75</v>
      </c>
      <c r="O10" s="28" t="s">
        <v>77</v>
      </c>
      <c r="P10" s="2" t="s">
        <v>78</v>
      </c>
      <c r="Q10" s="2" t="s">
        <v>72</v>
      </c>
      <c r="R10" s="2" t="s">
        <v>122</v>
      </c>
      <c r="S10" s="28" t="s">
        <v>74</v>
      </c>
      <c r="T10" s="2" t="s">
        <v>81</v>
      </c>
      <c r="U10" s="2" t="s">
        <v>72</v>
      </c>
      <c r="V10" s="2" t="s">
        <v>123</v>
      </c>
      <c r="W10" s="29" t="s">
        <v>76</v>
      </c>
      <c r="X10" s="2" t="s">
        <v>83</v>
      </c>
      <c r="Y10" s="2" t="s">
        <v>72</v>
      </c>
      <c r="Z10" s="2" t="s">
        <v>123</v>
      </c>
      <c r="AA10" s="28" t="s">
        <v>76</v>
      </c>
      <c r="AB10" s="2" t="s">
        <v>83</v>
      </c>
      <c r="AC10" s="2" t="s">
        <v>72</v>
      </c>
      <c r="AD10" s="2" t="s">
        <v>123</v>
      </c>
      <c r="AE10" s="2" t="s">
        <v>124</v>
      </c>
      <c r="AF10" s="2" t="s">
        <v>125</v>
      </c>
      <c r="AG10" s="2" t="s">
        <v>126</v>
      </c>
      <c r="AH10" s="2" t="s">
        <v>87</v>
      </c>
    </row>
    <row r="11" spans="1:34" ht="106.5" customHeight="1">
      <c r="A11" s="1" t="s">
        <v>43</v>
      </c>
      <c r="B11" s="1" t="s">
        <v>65</v>
      </c>
      <c r="C11" s="31" t="s">
        <v>66</v>
      </c>
      <c r="D11" s="1" t="s">
        <v>127</v>
      </c>
      <c r="E11" s="34" t="s">
        <v>128</v>
      </c>
      <c r="F11" s="1" t="s">
        <v>129</v>
      </c>
      <c r="G11" s="29" t="s">
        <v>130</v>
      </c>
      <c r="H11" s="1" t="s">
        <v>71</v>
      </c>
      <c r="I11" s="1" t="s">
        <v>72</v>
      </c>
      <c r="J11" s="1" t="s">
        <v>131</v>
      </c>
      <c r="K11" s="1" t="s">
        <v>74</v>
      </c>
      <c r="L11" s="1" t="s">
        <v>75</v>
      </c>
      <c r="M11" s="1" t="s">
        <v>76</v>
      </c>
      <c r="N11" s="1" t="s">
        <v>75</v>
      </c>
      <c r="O11" s="29" t="s">
        <v>77</v>
      </c>
      <c r="P11" s="1" t="s">
        <v>78</v>
      </c>
      <c r="Q11" s="1" t="s">
        <v>72</v>
      </c>
      <c r="R11" s="1" t="s">
        <v>132</v>
      </c>
      <c r="S11" s="28" t="s">
        <v>74</v>
      </c>
      <c r="T11" s="1" t="s">
        <v>81</v>
      </c>
      <c r="U11" s="1" t="s">
        <v>72</v>
      </c>
      <c r="V11" s="1" t="s">
        <v>133</v>
      </c>
      <c r="W11" s="29" t="s">
        <v>76</v>
      </c>
      <c r="X11" s="1" t="s">
        <v>83</v>
      </c>
      <c r="Y11" s="1" t="s">
        <v>72</v>
      </c>
      <c r="Z11" s="1" t="s">
        <v>133</v>
      </c>
      <c r="AA11" s="29" t="s">
        <v>76</v>
      </c>
      <c r="AB11" s="1" t="s">
        <v>83</v>
      </c>
      <c r="AC11" s="1" t="s">
        <v>72</v>
      </c>
      <c r="AD11" s="1" t="s">
        <v>133</v>
      </c>
      <c r="AE11" s="1" t="s">
        <v>134</v>
      </c>
      <c r="AF11" s="1" t="s">
        <v>135</v>
      </c>
      <c r="AG11" s="1" t="s">
        <v>136</v>
      </c>
      <c r="AH11" s="1" t="s">
        <v>87</v>
      </c>
    </row>
    <row r="12" spans="1:34" ht="91.5" customHeight="1">
      <c r="A12" s="2" t="s">
        <v>43</v>
      </c>
      <c r="B12" s="2" t="s">
        <v>137</v>
      </c>
      <c r="C12" s="2" t="s">
        <v>138</v>
      </c>
      <c r="D12" s="2" t="s">
        <v>139</v>
      </c>
      <c r="E12" s="2" t="s">
        <v>118</v>
      </c>
      <c r="F12" s="2" t="s">
        <v>140</v>
      </c>
      <c r="G12" s="28" t="s">
        <v>141</v>
      </c>
      <c r="H12" s="2" t="s">
        <v>142</v>
      </c>
      <c r="I12" s="2" t="s">
        <v>72</v>
      </c>
      <c r="J12" s="2" t="s">
        <v>143</v>
      </c>
      <c r="K12" s="2" t="s">
        <v>144</v>
      </c>
      <c r="L12" s="2" t="s">
        <v>145</v>
      </c>
      <c r="M12" s="2" t="s">
        <v>144</v>
      </c>
      <c r="N12" s="2" t="s">
        <v>145</v>
      </c>
      <c r="O12" s="28" t="s">
        <v>146</v>
      </c>
      <c r="P12" s="2" t="s">
        <v>147</v>
      </c>
      <c r="Q12" s="2" t="s">
        <v>79</v>
      </c>
      <c r="R12" s="2" t="s">
        <v>148</v>
      </c>
      <c r="S12" s="28" t="s">
        <v>149</v>
      </c>
      <c r="T12" s="2" t="s">
        <v>150</v>
      </c>
      <c r="U12" s="2" t="s">
        <v>72</v>
      </c>
      <c r="V12" s="2" t="s">
        <v>151</v>
      </c>
      <c r="W12" s="28" t="s">
        <v>152</v>
      </c>
      <c r="X12" s="2" t="s">
        <v>153</v>
      </c>
      <c r="Y12" s="2" t="s">
        <v>72</v>
      </c>
      <c r="Z12" s="2" t="s">
        <v>154</v>
      </c>
      <c r="AA12" s="28" t="s">
        <v>153</v>
      </c>
      <c r="AB12" s="2" t="s">
        <v>155</v>
      </c>
      <c r="AC12" s="2" t="s">
        <v>72</v>
      </c>
      <c r="AD12" s="2" t="s">
        <v>154</v>
      </c>
      <c r="AE12" s="2" t="s">
        <v>156</v>
      </c>
      <c r="AF12" s="2" t="s">
        <v>157</v>
      </c>
      <c r="AG12" s="2" t="s">
        <v>158</v>
      </c>
      <c r="AH12" s="2" t="s">
        <v>87</v>
      </c>
    </row>
    <row r="13" spans="1:34" ht="141" customHeight="1">
      <c r="A13" s="1" t="s">
        <v>43</v>
      </c>
      <c r="B13" s="1" t="s">
        <v>137</v>
      </c>
      <c r="C13" s="1" t="s">
        <v>138</v>
      </c>
      <c r="D13" s="1" t="s">
        <v>159</v>
      </c>
      <c r="E13" s="34" t="s">
        <v>160</v>
      </c>
      <c r="F13" s="1" t="s">
        <v>161</v>
      </c>
      <c r="G13" s="29" t="s">
        <v>141</v>
      </c>
      <c r="H13" s="1" t="s">
        <v>142</v>
      </c>
      <c r="I13" s="1" t="s">
        <v>72</v>
      </c>
      <c r="J13" s="1" t="s">
        <v>162</v>
      </c>
      <c r="K13" s="1" t="s">
        <v>144</v>
      </c>
      <c r="L13" s="1" t="s">
        <v>145</v>
      </c>
      <c r="M13" s="1" t="s">
        <v>144</v>
      </c>
      <c r="N13" s="1" t="s">
        <v>145</v>
      </c>
      <c r="O13" s="29" t="s">
        <v>146</v>
      </c>
      <c r="P13" s="2" t="s">
        <v>147</v>
      </c>
      <c r="Q13" s="1" t="s">
        <v>79</v>
      </c>
      <c r="R13" s="1" t="s">
        <v>163</v>
      </c>
      <c r="S13" s="28" t="s">
        <v>149</v>
      </c>
      <c r="T13" s="1" t="s">
        <v>150</v>
      </c>
      <c r="U13" s="1" t="s">
        <v>72</v>
      </c>
      <c r="V13" s="1" t="s">
        <v>164</v>
      </c>
      <c r="W13" s="28" t="s">
        <v>152</v>
      </c>
      <c r="X13" s="1" t="s">
        <v>153</v>
      </c>
      <c r="Y13" s="1" t="s">
        <v>72</v>
      </c>
      <c r="Z13" s="1" t="s">
        <v>165</v>
      </c>
      <c r="AA13" s="29" t="s">
        <v>153</v>
      </c>
      <c r="AB13" s="1" t="s">
        <v>155</v>
      </c>
      <c r="AC13" s="1" t="s">
        <v>72</v>
      </c>
      <c r="AD13" s="1" t="s">
        <v>165</v>
      </c>
      <c r="AE13" s="1" t="s">
        <v>166</v>
      </c>
      <c r="AF13" s="1" t="s">
        <v>167</v>
      </c>
      <c r="AG13" s="1" t="s">
        <v>168</v>
      </c>
      <c r="AH13" s="1" t="s">
        <v>87</v>
      </c>
    </row>
    <row r="14" spans="1:34" ht="123.75" customHeight="1">
      <c r="A14" s="2" t="s">
        <v>43</v>
      </c>
      <c r="B14" s="2" t="s">
        <v>137</v>
      </c>
      <c r="C14" s="2" t="s">
        <v>138</v>
      </c>
      <c r="D14" s="2" t="s">
        <v>169</v>
      </c>
      <c r="E14" s="2" t="s">
        <v>170</v>
      </c>
      <c r="F14" s="2" t="s">
        <v>171</v>
      </c>
      <c r="G14" s="28" t="s">
        <v>141</v>
      </c>
      <c r="H14" s="2" t="s">
        <v>142</v>
      </c>
      <c r="I14" s="2" t="s">
        <v>72</v>
      </c>
      <c r="J14" s="18" t="s">
        <v>172</v>
      </c>
      <c r="K14" s="2" t="s">
        <v>144</v>
      </c>
      <c r="L14" s="2" t="s">
        <v>145</v>
      </c>
      <c r="M14" s="2" t="s">
        <v>144</v>
      </c>
      <c r="N14" s="2" t="s">
        <v>145</v>
      </c>
      <c r="O14" s="28" t="s">
        <v>146</v>
      </c>
      <c r="P14" s="2" t="s">
        <v>147</v>
      </c>
      <c r="Q14" s="2" t="s">
        <v>72</v>
      </c>
      <c r="R14" s="2" t="s">
        <v>173</v>
      </c>
      <c r="S14" s="28" t="s">
        <v>149</v>
      </c>
      <c r="T14" s="2" t="s">
        <v>150</v>
      </c>
      <c r="U14" s="2" t="s">
        <v>72</v>
      </c>
      <c r="V14" s="2" t="s">
        <v>174</v>
      </c>
      <c r="W14" s="28" t="s">
        <v>152</v>
      </c>
      <c r="X14" s="2" t="s">
        <v>153</v>
      </c>
      <c r="Y14" s="2" t="s">
        <v>72</v>
      </c>
      <c r="Z14" s="2" t="s">
        <v>175</v>
      </c>
      <c r="AA14" s="28" t="s">
        <v>153</v>
      </c>
      <c r="AB14" s="2" t="s">
        <v>155</v>
      </c>
      <c r="AC14" s="2" t="s">
        <v>72</v>
      </c>
      <c r="AD14" s="2" t="s">
        <v>175</v>
      </c>
      <c r="AE14" s="2" t="s">
        <v>176</v>
      </c>
      <c r="AF14" s="2" t="s">
        <v>177</v>
      </c>
      <c r="AG14" s="2" t="s">
        <v>178</v>
      </c>
      <c r="AH14" s="2" t="s">
        <v>87</v>
      </c>
    </row>
    <row r="15" spans="1:34" ht="120" customHeight="1">
      <c r="A15" s="1" t="s">
        <v>43</v>
      </c>
      <c r="B15" s="1" t="s">
        <v>137</v>
      </c>
      <c r="C15" s="1" t="s">
        <v>138</v>
      </c>
      <c r="D15" s="1" t="s">
        <v>179</v>
      </c>
      <c r="E15" s="34" t="s">
        <v>180</v>
      </c>
      <c r="F15" s="1" t="s">
        <v>181</v>
      </c>
      <c r="G15" s="29" t="s">
        <v>141</v>
      </c>
      <c r="H15" s="1" t="s">
        <v>142</v>
      </c>
      <c r="I15" s="1" t="s">
        <v>72</v>
      </c>
      <c r="J15" s="1" t="s">
        <v>182</v>
      </c>
      <c r="K15" s="1" t="s">
        <v>144</v>
      </c>
      <c r="L15" s="1" t="s">
        <v>145</v>
      </c>
      <c r="M15" s="1" t="s">
        <v>144</v>
      </c>
      <c r="N15" s="1" t="s">
        <v>145</v>
      </c>
      <c r="O15" s="29" t="s">
        <v>146</v>
      </c>
      <c r="P15" s="2" t="s">
        <v>147</v>
      </c>
      <c r="Q15" s="1" t="s">
        <v>79</v>
      </c>
      <c r="R15" s="1" t="s">
        <v>183</v>
      </c>
      <c r="S15" s="28" t="s">
        <v>149</v>
      </c>
      <c r="T15" s="1" t="s">
        <v>150</v>
      </c>
      <c r="U15" s="1" t="s">
        <v>72</v>
      </c>
      <c r="V15" s="1" t="s">
        <v>184</v>
      </c>
      <c r="W15" s="28" t="s">
        <v>152</v>
      </c>
      <c r="X15" s="1" t="s">
        <v>153</v>
      </c>
      <c r="Y15" s="1" t="s">
        <v>72</v>
      </c>
      <c r="Z15" s="1" t="s">
        <v>185</v>
      </c>
      <c r="AA15" s="29" t="s">
        <v>153</v>
      </c>
      <c r="AB15" s="1" t="s">
        <v>155</v>
      </c>
      <c r="AC15" s="1" t="s">
        <v>72</v>
      </c>
      <c r="AD15" s="1" t="s">
        <v>185</v>
      </c>
      <c r="AE15" s="1" t="s">
        <v>186</v>
      </c>
      <c r="AF15" s="1" t="s">
        <v>187</v>
      </c>
      <c r="AG15" s="1" t="s">
        <v>188</v>
      </c>
      <c r="AH15" s="1" t="s">
        <v>87</v>
      </c>
    </row>
    <row r="16" spans="1:34" ht="123" customHeight="1">
      <c r="A16" s="2" t="s">
        <v>43</v>
      </c>
      <c r="B16" s="2" t="s">
        <v>137</v>
      </c>
      <c r="C16" s="2" t="s">
        <v>138</v>
      </c>
      <c r="D16" s="2" t="s">
        <v>189</v>
      </c>
      <c r="E16" s="2" t="s">
        <v>190</v>
      </c>
      <c r="F16" s="2" t="s">
        <v>191</v>
      </c>
      <c r="G16" s="28" t="s">
        <v>141</v>
      </c>
      <c r="H16" s="2" t="s">
        <v>142</v>
      </c>
      <c r="I16" s="2" t="s">
        <v>72</v>
      </c>
      <c r="J16" s="2" t="s">
        <v>192</v>
      </c>
      <c r="K16" s="2" t="s">
        <v>144</v>
      </c>
      <c r="L16" s="2" t="s">
        <v>145</v>
      </c>
      <c r="M16" s="2" t="s">
        <v>144</v>
      </c>
      <c r="N16" s="2" t="s">
        <v>145</v>
      </c>
      <c r="O16" s="28" t="s">
        <v>146</v>
      </c>
      <c r="P16" s="2" t="s">
        <v>147</v>
      </c>
      <c r="Q16" s="2" t="s">
        <v>79</v>
      </c>
      <c r="R16" s="2" t="s">
        <v>193</v>
      </c>
      <c r="S16" s="28" t="s">
        <v>149</v>
      </c>
      <c r="T16" s="2" t="s">
        <v>150</v>
      </c>
      <c r="U16" s="2" t="s">
        <v>72</v>
      </c>
      <c r="V16" s="2" t="s">
        <v>194</v>
      </c>
      <c r="W16" s="28" t="s">
        <v>152</v>
      </c>
      <c r="X16" s="2" t="s">
        <v>153</v>
      </c>
      <c r="Y16" s="2" t="s">
        <v>72</v>
      </c>
      <c r="Z16" s="2" t="s">
        <v>195</v>
      </c>
      <c r="AA16" s="28" t="s">
        <v>153</v>
      </c>
      <c r="AB16" s="2" t="s">
        <v>155</v>
      </c>
      <c r="AC16" s="2" t="s">
        <v>72</v>
      </c>
      <c r="AD16" s="2" t="s">
        <v>195</v>
      </c>
      <c r="AE16" s="2" t="s">
        <v>196</v>
      </c>
      <c r="AF16" s="2" t="s">
        <v>197</v>
      </c>
      <c r="AG16" s="2" t="s">
        <v>198</v>
      </c>
      <c r="AH16" s="2" t="s">
        <v>87</v>
      </c>
    </row>
    <row r="17" spans="1:34" ht="117" customHeight="1">
      <c r="A17" s="1" t="s">
        <v>43</v>
      </c>
      <c r="B17" s="1" t="s">
        <v>137</v>
      </c>
      <c r="C17" s="1" t="s">
        <v>138</v>
      </c>
      <c r="D17" s="1" t="s">
        <v>199</v>
      </c>
      <c r="E17" s="34" t="s">
        <v>128</v>
      </c>
      <c r="F17" s="1" t="s">
        <v>200</v>
      </c>
      <c r="G17" s="29" t="s">
        <v>141</v>
      </c>
      <c r="H17" s="1" t="s">
        <v>142</v>
      </c>
      <c r="I17" s="1" t="s">
        <v>72</v>
      </c>
      <c r="J17" s="1" t="s">
        <v>201</v>
      </c>
      <c r="K17" s="1" t="s">
        <v>144</v>
      </c>
      <c r="L17" s="1" t="s">
        <v>145</v>
      </c>
      <c r="M17" s="1" t="s">
        <v>144</v>
      </c>
      <c r="N17" s="1" t="s">
        <v>145</v>
      </c>
      <c r="O17" s="29" t="s">
        <v>146</v>
      </c>
      <c r="P17" s="2" t="s">
        <v>147</v>
      </c>
      <c r="Q17" s="1" t="s">
        <v>79</v>
      </c>
      <c r="R17" s="1" t="s">
        <v>202</v>
      </c>
      <c r="S17" s="28" t="s">
        <v>149</v>
      </c>
      <c r="T17" s="1" t="s">
        <v>150</v>
      </c>
      <c r="U17" s="1" t="s">
        <v>72</v>
      </c>
      <c r="V17" s="1" t="s">
        <v>203</v>
      </c>
      <c r="W17" s="28" t="s">
        <v>152</v>
      </c>
      <c r="X17" s="1" t="s">
        <v>153</v>
      </c>
      <c r="Y17" s="1" t="s">
        <v>72</v>
      </c>
      <c r="Z17" s="1" t="s">
        <v>204</v>
      </c>
      <c r="AA17" s="29" t="s">
        <v>153</v>
      </c>
      <c r="AB17" s="1" t="s">
        <v>155</v>
      </c>
      <c r="AC17" s="1" t="s">
        <v>72</v>
      </c>
      <c r="AD17" s="1" t="s">
        <v>204</v>
      </c>
      <c r="AE17" s="1" t="s">
        <v>205</v>
      </c>
      <c r="AF17" s="1" t="s">
        <v>206</v>
      </c>
      <c r="AG17" s="1" t="s">
        <v>207</v>
      </c>
      <c r="AH17" s="1" t="s">
        <v>87</v>
      </c>
    </row>
    <row r="18" spans="1:34" ht="141" customHeight="1">
      <c r="A18" s="2" t="s">
        <v>43</v>
      </c>
      <c r="B18" s="2" t="s">
        <v>137</v>
      </c>
      <c r="C18" s="2" t="s">
        <v>138</v>
      </c>
      <c r="D18" s="2" t="s">
        <v>208</v>
      </c>
      <c r="E18" s="2" t="s">
        <v>209</v>
      </c>
      <c r="F18" s="2" t="s">
        <v>210</v>
      </c>
      <c r="G18" s="28" t="s">
        <v>141</v>
      </c>
      <c r="H18" s="2" t="s">
        <v>142</v>
      </c>
      <c r="I18" s="2" t="s">
        <v>72</v>
      </c>
      <c r="J18" s="2" t="s">
        <v>211</v>
      </c>
      <c r="K18" s="2" t="s">
        <v>144</v>
      </c>
      <c r="L18" s="2" t="s">
        <v>145</v>
      </c>
      <c r="M18" s="2" t="s">
        <v>144</v>
      </c>
      <c r="N18" s="2" t="s">
        <v>145</v>
      </c>
      <c r="O18" s="28" t="s">
        <v>146</v>
      </c>
      <c r="P18" s="2" t="s">
        <v>147</v>
      </c>
      <c r="Q18" s="2" t="s">
        <v>79</v>
      </c>
      <c r="R18" s="2" t="s">
        <v>212</v>
      </c>
      <c r="S18" s="28" t="s">
        <v>149</v>
      </c>
      <c r="T18" s="2" t="s">
        <v>150</v>
      </c>
      <c r="U18" s="2" t="s">
        <v>72</v>
      </c>
      <c r="V18" s="2" t="s">
        <v>213</v>
      </c>
      <c r="W18" s="28" t="s">
        <v>152</v>
      </c>
      <c r="X18" s="2" t="s">
        <v>153</v>
      </c>
      <c r="Y18" s="2" t="s">
        <v>72</v>
      </c>
      <c r="Z18" s="2" t="s">
        <v>214</v>
      </c>
      <c r="AA18" s="28" t="s">
        <v>153</v>
      </c>
      <c r="AB18" s="2" t="s">
        <v>155</v>
      </c>
      <c r="AC18" s="2" t="s">
        <v>72</v>
      </c>
      <c r="AD18" s="2" t="s">
        <v>214</v>
      </c>
      <c r="AE18" s="2" t="s">
        <v>215</v>
      </c>
      <c r="AF18" s="2" t="s">
        <v>216</v>
      </c>
      <c r="AG18" s="2" t="s">
        <v>217</v>
      </c>
      <c r="AH18" s="2" t="s">
        <v>87</v>
      </c>
    </row>
    <row r="19" spans="1:34" ht="20.100000000000001" customHeight="1">
      <c r="A19" s="3" t="s">
        <v>218</v>
      </c>
      <c r="B19" s="3"/>
      <c r="C19" s="3"/>
      <c r="D19" s="3"/>
      <c r="E19" s="32"/>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row>
    <row r="20" spans="1:34" ht="45" customHeight="1">
      <c r="A20" s="1" t="s">
        <v>43</v>
      </c>
      <c r="B20" s="1" t="s">
        <v>219</v>
      </c>
      <c r="C20" s="1" t="s">
        <v>220</v>
      </c>
      <c r="D20" s="1" t="s">
        <v>221</v>
      </c>
      <c r="E20" s="34" t="s">
        <v>222</v>
      </c>
      <c r="F20" s="1" t="s">
        <v>223</v>
      </c>
      <c r="G20" s="29" t="s">
        <v>224</v>
      </c>
      <c r="H20" s="1" t="s">
        <v>225</v>
      </c>
      <c r="I20" s="1" t="s">
        <v>72</v>
      </c>
      <c r="J20" s="1" t="s">
        <v>226</v>
      </c>
      <c r="K20" s="1" t="s">
        <v>224</v>
      </c>
      <c r="L20" s="1" t="s">
        <v>225</v>
      </c>
      <c r="M20" s="1" t="s">
        <v>224</v>
      </c>
      <c r="N20" s="1" t="s">
        <v>225</v>
      </c>
      <c r="O20" s="29" t="s">
        <v>227</v>
      </c>
      <c r="P20" s="1" t="s">
        <v>228</v>
      </c>
      <c r="Q20" s="1" t="s">
        <v>79</v>
      </c>
      <c r="R20" s="1" t="s">
        <v>229</v>
      </c>
      <c r="S20" s="29" t="s">
        <v>224</v>
      </c>
      <c r="T20" s="1" t="s">
        <v>230</v>
      </c>
      <c r="U20" s="1" t="s">
        <v>72</v>
      </c>
      <c r="V20" s="1" t="s">
        <v>231</v>
      </c>
      <c r="W20" s="29" t="s">
        <v>224</v>
      </c>
      <c r="X20" s="1"/>
      <c r="Y20" s="1" t="s">
        <v>72</v>
      </c>
      <c r="Z20" s="1" t="s">
        <v>231</v>
      </c>
      <c r="AA20" s="29" t="s">
        <v>224</v>
      </c>
      <c r="AB20" s="1" t="s">
        <v>232</v>
      </c>
      <c r="AC20" s="1" t="s">
        <v>72</v>
      </c>
      <c r="AD20" s="1" t="s">
        <v>231</v>
      </c>
      <c r="AE20" s="1" t="s">
        <v>233</v>
      </c>
      <c r="AF20" s="1" t="s">
        <v>234</v>
      </c>
      <c r="AG20" s="1" t="s">
        <v>235</v>
      </c>
      <c r="AH20" s="1" t="s">
        <v>236</v>
      </c>
    </row>
    <row r="21" spans="1:34" ht="45" customHeight="1">
      <c r="A21" s="2" t="s">
        <v>43</v>
      </c>
      <c r="B21" s="2" t="s">
        <v>219</v>
      </c>
      <c r="C21" s="2" t="s">
        <v>220</v>
      </c>
      <c r="D21" s="2" t="s">
        <v>237</v>
      </c>
      <c r="E21" s="2" t="s">
        <v>238</v>
      </c>
      <c r="F21" s="2" t="s">
        <v>239</v>
      </c>
      <c r="G21" s="28" t="s">
        <v>224</v>
      </c>
      <c r="H21" s="2" t="s">
        <v>225</v>
      </c>
      <c r="I21" s="2" t="s">
        <v>72</v>
      </c>
      <c r="J21" s="2" t="s">
        <v>240</v>
      </c>
      <c r="K21" s="2" t="s">
        <v>224</v>
      </c>
      <c r="L21" s="2" t="s">
        <v>225</v>
      </c>
      <c r="M21" s="2" t="s">
        <v>224</v>
      </c>
      <c r="N21" s="2" t="s">
        <v>225</v>
      </c>
      <c r="O21" s="28" t="s">
        <v>227</v>
      </c>
      <c r="P21" s="2" t="s">
        <v>228</v>
      </c>
      <c r="Q21" s="2" t="s">
        <v>79</v>
      </c>
      <c r="R21" s="2" t="s">
        <v>241</v>
      </c>
      <c r="S21" s="29" t="s">
        <v>224</v>
      </c>
      <c r="T21" s="2" t="s">
        <v>230</v>
      </c>
      <c r="U21" s="2" t="s">
        <v>72</v>
      </c>
      <c r="V21" s="2" t="s">
        <v>242</v>
      </c>
      <c r="W21" s="29" t="s">
        <v>224</v>
      </c>
      <c r="X21" s="2"/>
      <c r="Y21" s="2" t="s">
        <v>72</v>
      </c>
      <c r="Z21" s="2" t="s">
        <v>242</v>
      </c>
      <c r="AA21" s="28" t="s">
        <v>224</v>
      </c>
      <c r="AB21" s="2" t="s">
        <v>232</v>
      </c>
      <c r="AC21" s="2" t="s">
        <v>72</v>
      </c>
      <c r="AD21" s="2" t="s">
        <v>242</v>
      </c>
      <c r="AE21" s="2" t="s">
        <v>243</v>
      </c>
      <c r="AF21" s="2" t="s">
        <v>244</v>
      </c>
      <c r="AG21" s="2" t="s">
        <v>245</v>
      </c>
      <c r="AH21" s="2" t="s">
        <v>236</v>
      </c>
    </row>
    <row r="22" spans="1:34" ht="45" customHeight="1">
      <c r="A22" s="1" t="s">
        <v>43</v>
      </c>
      <c r="B22" s="1" t="s">
        <v>219</v>
      </c>
      <c r="C22" s="1" t="s">
        <v>220</v>
      </c>
      <c r="D22" s="1" t="s">
        <v>246</v>
      </c>
      <c r="E22" s="34" t="s">
        <v>247</v>
      </c>
      <c r="F22" s="1" t="s">
        <v>248</v>
      </c>
      <c r="G22" s="29" t="s">
        <v>224</v>
      </c>
      <c r="H22" s="1" t="s">
        <v>225</v>
      </c>
      <c r="I22" s="1" t="s">
        <v>72</v>
      </c>
      <c r="J22" s="1" t="s">
        <v>249</v>
      </c>
      <c r="K22" s="1" t="s">
        <v>224</v>
      </c>
      <c r="L22" s="1" t="s">
        <v>225</v>
      </c>
      <c r="M22" s="1" t="s">
        <v>224</v>
      </c>
      <c r="N22" s="1" t="s">
        <v>225</v>
      </c>
      <c r="O22" s="29" t="s">
        <v>227</v>
      </c>
      <c r="P22" s="1" t="s">
        <v>228</v>
      </c>
      <c r="Q22" s="1" t="s">
        <v>79</v>
      </c>
      <c r="R22" s="1" t="s">
        <v>250</v>
      </c>
      <c r="S22" s="29" t="s">
        <v>224</v>
      </c>
      <c r="T22" s="1" t="s">
        <v>230</v>
      </c>
      <c r="U22" s="1" t="s">
        <v>72</v>
      </c>
      <c r="V22" s="1" t="s">
        <v>251</v>
      </c>
      <c r="W22" s="29" t="s">
        <v>224</v>
      </c>
      <c r="X22" s="1"/>
      <c r="Y22" s="1" t="s">
        <v>72</v>
      </c>
      <c r="Z22" s="1" t="s">
        <v>251</v>
      </c>
      <c r="AA22" s="29" t="s">
        <v>224</v>
      </c>
      <c r="AB22" s="1" t="s">
        <v>232</v>
      </c>
      <c r="AC22" s="1" t="s">
        <v>72</v>
      </c>
      <c r="AD22" s="1" t="s">
        <v>251</v>
      </c>
      <c r="AE22" s="1" t="s">
        <v>252</v>
      </c>
      <c r="AF22" s="1" t="s">
        <v>253</v>
      </c>
      <c r="AG22" s="1" t="s">
        <v>254</v>
      </c>
      <c r="AH22" s="1" t="s">
        <v>236</v>
      </c>
    </row>
    <row r="23" spans="1:34" ht="45" customHeight="1">
      <c r="A23" s="2" t="s">
        <v>43</v>
      </c>
      <c r="B23" s="2" t="s">
        <v>219</v>
      </c>
      <c r="C23" s="2" t="s">
        <v>220</v>
      </c>
      <c r="D23" s="2" t="s">
        <v>255</v>
      </c>
      <c r="E23" s="2" t="s">
        <v>256</v>
      </c>
      <c r="F23" s="2" t="s">
        <v>257</v>
      </c>
      <c r="G23" s="28" t="s">
        <v>224</v>
      </c>
      <c r="H23" s="2" t="s">
        <v>225</v>
      </c>
      <c r="I23" s="2" t="s">
        <v>72</v>
      </c>
      <c r="J23" s="2" t="s">
        <v>258</v>
      </c>
      <c r="K23" s="2" t="s">
        <v>224</v>
      </c>
      <c r="L23" s="2" t="s">
        <v>225</v>
      </c>
      <c r="M23" s="2" t="s">
        <v>224</v>
      </c>
      <c r="N23" s="2" t="s">
        <v>225</v>
      </c>
      <c r="O23" s="28" t="s">
        <v>227</v>
      </c>
      <c r="P23" s="2" t="s">
        <v>228</v>
      </c>
      <c r="Q23" s="2" t="s">
        <v>79</v>
      </c>
      <c r="R23" s="2" t="s">
        <v>259</v>
      </c>
      <c r="S23" s="29" t="s">
        <v>224</v>
      </c>
      <c r="T23" s="2" t="s">
        <v>230</v>
      </c>
      <c r="U23" s="2" t="s">
        <v>72</v>
      </c>
      <c r="V23" s="2" t="s">
        <v>260</v>
      </c>
      <c r="W23" s="29" t="s">
        <v>224</v>
      </c>
      <c r="X23" s="2"/>
      <c r="Y23" s="2" t="s">
        <v>72</v>
      </c>
      <c r="Z23" s="2" t="s">
        <v>260</v>
      </c>
      <c r="AA23" s="28" t="s">
        <v>224</v>
      </c>
      <c r="AB23" s="2" t="s">
        <v>232</v>
      </c>
      <c r="AC23" s="2" t="s">
        <v>72</v>
      </c>
      <c r="AD23" s="2" t="s">
        <v>260</v>
      </c>
      <c r="AE23" s="2" t="s">
        <v>261</v>
      </c>
      <c r="AF23" s="2" t="s">
        <v>262</v>
      </c>
      <c r="AG23" s="2" t="s">
        <v>263</v>
      </c>
      <c r="AH23" s="2" t="s">
        <v>236</v>
      </c>
    </row>
    <row r="24" spans="1:34" ht="45" customHeight="1">
      <c r="A24" s="1" t="s">
        <v>43</v>
      </c>
      <c r="B24" s="1" t="s">
        <v>219</v>
      </c>
      <c r="C24" s="1" t="s">
        <v>220</v>
      </c>
      <c r="D24" s="1" t="s">
        <v>264</v>
      </c>
      <c r="E24" s="34" t="s">
        <v>265</v>
      </c>
      <c r="F24" s="1" t="s">
        <v>266</v>
      </c>
      <c r="G24" s="29" t="s">
        <v>224</v>
      </c>
      <c r="H24" s="1" t="s">
        <v>225</v>
      </c>
      <c r="I24" s="1" t="s">
        <v>72</v>
      </c>
      <c r="J24" s="1" t="s">
        <v>267</v>
      </c>
      <c r="K24" s="1" t="s">
        <v>224</v>
      </c>
      <c r="L24" s="1" t="s">
        <v>225</v>
      </c>
      <c r="M24" s="1" t="str">
        <f>+I20</f>
        <v>No</v>
      </c>
      <c r="N24" s="1" t="s">
        <v>225</v>
      </c>
      <c r="O24" s="29" t="s">
        <v>227</v>
      </c>
      <c r="P24" s="1" t="s">
        <v>228</v>
      </c>
      <c r="Q24" s="1" t="s">
        <v>79</v>
      </c>
      <c r="R24" s="1" t="s">
        <v>268</v>
      </c>
      <c r="S24" s="29" t="s">
        <v>224</v>
      </c>
      <c r="T24" s="1" t="s">
        <v>230</v>
      </c>
      <c r="U24" s="1" t="s">
        <v>72</v>
      </c>
      <c r="V24" s="1" t="s">
        <v>269</v>
      </c>
      <c r="W24" s="29" t="s">
        <v>224</v>
      </c>
      <c r="X24" s="1"/>
      <c r="Y24" s="1" t="s">
        <v>72</v>
      </c>
      <c r="Z24" s="1" t="s">
        <v>269</v>
      </c>
      <c r="AA24" s="29" t="s">
        <v>224</v>
      </c>
      <c r="AB24" s="1" t="s">
        <v>232</v>
      </c>
      <c r="AC24" s="1" t="s">
        <v>72</v>
      </c>
      <c r="AD24" s="1" t="s">
        <v>269</v>
      </c>
      <c r="AE24" s="1" t="s">
        <v>270</v>
      </c>
      <c r="AF24" s="1" t="s">
        <v>271</v>
      </c>
      <c r="AG24" s="1" t="s">
        <v>272</v>
      </c>
      <c r="AH24" s="1" t="s">
        <v>236</v>
      </c>
    </row>
    <row r="25" spans="1:34" ht="45" customHeight="1">
      <c r="A25" s="2" t="s">
        <v>43</v>
      </c>
      <c r="B25" s="2" t="s">
        <v>219</v>
      </c>
      <c r="C25" s="2" t="s">
        <v>220</v>
      </c>
      <c r="D25" s="2" t="s">
        <v>273</v>
      </c>
      <c r="E25" s="2" t="s">
        <v>274</v>
      </c>
      <c r="F25" s="2" t="s">
        <v>275</v>
      </c>
      <c r="G25" s="28" t="s">
        <v>224</v>
      </c>
      <c r="H25" s="2" t="s">
        <v>225</v>
      </c>
      <c r="I25" s="2" t="s">
        <v>72</v>
      </c>
      <c r="J25" s="2" t="s">
        <v>276</v>
      </c>
      <c r="K25" s="2" t="s">
        <v>224</v>
      </c>
      <c r="L25" s="2" t="s">
        <v>225</v>
      </c>
      <c r="M25" s="2" t="s">
        <v>224</v>
      </c>
      <c r="N25" s="2" t="s">
        <v>225</v>
      </c>
      <c r="O25" s="28" t="s">
        <v>227</v>
      </c>
      <c r="P25" s="2" t="s">
        <v>228</v>
      </c>
      <c r="Q25" s="2" t="s">
        <v>79</v>
      </c>
      <c r="R25" s="2" t="s">
        <v>277</v>
      </c>
      <c r="S25" s="29" t="s">
        <v>224</v>
      </c>
      <c r="T25" s="2" t="s">
        <v>230</v>
      </c>
      <c r="U25" s="2" t="s">
        <v>72</v>
      </c>
      <c r="V25" s="2" t="s">
        <v>278</v>
      </c>
      <c r="W25" s="29" t="s">
        <v>224</v>
      </c>
      <c r="X25" s="2"/>
      <c r="Y25" s="2" t="s">
        <v>72</v>
      </c>
      <c r="Z25" s="2" t="s">
        <v>278</v>
      </c>
      <c r="AA25" s="28" t="s">
        <v>224</v>
      </c>
      <c r="AB25" s="2" t="s">
        <v>232</v>
      </c>
      <c r="AC25" s="2" t="s">
        <v>72</v>
      </c>
      <c r="AD25" s="2" t="s">
        <v>278</v>
      </c>
      <c r="AE25" s="2" t="s">
        <v>279</v>
      </c>
      <c r="AF25" s="2" t="s">
        <v>280</v>
      </c>
      <c r="AG25" s="2" t="s">
        <v>281</v>
      </c>
      <c r="AH25" s="2" t="s">
        <v>236</v>
      </c>
    </row>
    <row r="26" spans="1:34" ht="45" customHeight="1">
      <c r="A26" s="1" t="s">
        <v>43</v>
      </c>
      <c r="B26" s="1" t="s">
        <v>219</v>
      </c>
      <c r="C26" s="1" t="s">
        <v>220</v>
      </c>
      <c r="D26" s="1" t="s">
        <v>282</v>
      </c>
      <c r="E26" s="34" t="s">
        <v>283</v>
      </c>
      <c r="F26" s="1" t="s">
        <v>284</v>
      </c>
      <c r="G26" s="29" t="s">
        <v>224</v>
      </c>
      <c r="H26" s="1" t="s">
        <v>225</v>
      </c>
      <c r="I26" s="1" t="s">
        <v>72</v>
      </c>
      <c r="J26" s="1" t="s">
        <v>285</v>
      </c>
      <c r="K26" s="1" t="s">
        <v>224</v>
      </c>
      <c r="L26" s="1" t="s">
        <v>225</v>
      </c>
      <c r="M26" s="1" t="s">
        <v>224</v>
      </c>
      <c r="N26" s="1" t="s">
        <v>225</v>
      </c>
      <c r="O26" s="29" t="s">
        <v>227</v>
      </c>
      <c r="P26" s="1" t="s">
        <v>228</v>
      </c>
      <c r="Q26" s="1" t="s">
        <v>79</v>
      </c>
      <c r="R26" s="1" t="s">
        <v>286</v>
      </c>
      <c r="S26" s="29" t="s">
        <v>224</v>
      </c>
      <c r="T26" s="1" t="s">
        <v>230</v>
      </c>
      <c r="U26" s="1" t="s">
        <v>72</v>
      </c>
      <c r="V26" s="1" t="s">
        <v>287</v>
      </c>
      <c r="W26" s="29" t="s">
        <v>224</v>
      </c>
      <c r="X26" s="1"/>
      <c r="Y26" s="1" t="s">
        <v>72</v>
      </c>
      <c r="Z26" s="1" t="s">
        <v>287</v>
      </c>
      <c r="AA26" s="29" t="s">
        <v>224</v>
      </c>
      <c r="AB26" s="1" t="s">
        <v>232</v>
      </c>
      <c r="AC26" s="1" t="s">
        <v>72</v>
      </c>
      <c r="AD26" s="1" t="s">
        <v>287</v>
      </c>
      <c r="AE26" s="1" t="s">
        <v>288</v>
      </c>
      <c r="AF26" s="1" t="s">
        <v>289</v>
      </c>
      <c r="AG26" s="1" t="s">
        <v>290</v>
      </c>
      <c r="AH26" s="1" t="s">
        <v>236</v>
      </c>
    </row>
    <row r="27" spans="1:34" ht="45" customHeight="1">
      <c r="A27" s="2" t="s">
        <v>43</v>
      </c>
      <c r="B27" s="2" t="s">
        <v>291</v>
      </c>
      <c r="C27" s="2" t="s">
        <v>292</v>
      </c>
      <c r="D27" s="2" t="s">
        <v>293</v>
      </c>
      <c r="E27" s="2" t="s">
        <v>294</v>
      </c>
      <c r="F27" s="2" t="s">
        <v>295</v>
      </c>
      <c r="G27" s="28" t="s">
        <v>296</v>
      </c>
      <c r="H27" s="2" t="s">
        <v>297</v>
      </c>
      <c r="I27" s="2" t="s">
        <v>72</v>
      </c>
      <c r="J27" s="2" t="s">
        <v>298</v>
      </c>
      <c r="K27" s="2" t="s">
        <v>299</v>
      </c>
      <c r="L27" s="2" t="s">
        <v>144</v>
      </c>
      <c r="M27" s="2" t="s">
        <v>299</v>
      </c>
      <c r="N27" s="2" t="s">
        <v>144</v>
      </c>
      <c r="O27" s="28" t="s">
        <v>300</v>
      </c>
      <c r="P27" s="2" t="s">
        <v>301</v>
      </c>
      <c r="Q27" s="2" t="s">
        <v>79</v>
      </c>
      <c r="R27" s="2" t="s">
        <v>302</v>
      </c>
      <c r="S27" s="28" t="s">
        <v>303</v>
      </c>
      <c r="T27" s="2" t="s">
        <v>304</v>
      </c>
      <c r="U27" s="2" t="s">
        <v>72</v>
      </c>
      <c r="V27" s="2" t="s">
        <v>305</v>
      </c>
      <c r="W27" s="28" t="s">
        <v>306</v>
      </c>
      <c r="X27" s="2"/>
      <c r="Y27" s="2" t="s">
        <v>72</v>
      </c>
      <c r="Z27" s="2" t="s">
        <v>307</v>
      </c>
      <c r="AA27" s="28" t="s">
        <v>308</v>
      </c>
      <c r="AB27" s="2" t="s">
        <v>306</v>
      </c>
      <c r="AC27" s="2" t="s">
        <v>72</v>
      </c>
      <c r="AD27" s="2" t="s">
        <v>309</v>
      </c>
      <c r="AE27" s="2" t="s">
        <v>310</v>
      </c>
      <c r="AF27" s="2" t="s">
        <v>311</v>
      </c>
      <c r="AG27" s="2" t="s">
        <v>312</v>
      </c>
      <c r="AH27" s="2" t="s">
        <v>87</v>
      </c>
    </row>
    <row r="28" spans="1:34" ht="116.25" customHeight="1">
      <c r="A28" s="1" t="s">
        <v>43</v>
      </c>
      <c r="B28" s="1" t="s">
        <v>291</v>
      </c>
      <c r="C28" s="1" t="s">
        <v>292</v>
      </c>
      <c r="D28" s="1" t="s">
        <v>313</v>
      </c>
      <c r="E28" s="34" t="s">
        <v>314</v>
      </c>
      <c r="F28" s="1" t="s">
        <v>315</v>
      </c>
      <c r="G28" s="29" t="s">
        <v>296</v>
      </c>
      <c r="H28" s="2" t="s">
        <v>297</v>
      </c>
      <c r="I28" s="2" t="s">
        <v>72</v>
      </c>
      <c r="J28" s="1" t="s">
        <v>316</v>
      </c>
      <c r="K28" s="1" t="s">
        <v>299</v>
      </c>
      <c r="L28" s="1" t="s">
        <v>144</v>
      </c>
      <c r="M28" s="1" t="s">
        <v>299</v>
      </c>
      <c r="N28" s="1" t="s">
        <v>144</v>
      </c>
      <c r="O28" s="29" t="s">
        <v>300</v>
      </c>
      <c r="P28" s="1" t="s">
        <v>301</v>
      </c>
      <c r="Q28" s="1" t="s">
        <v>72</v>
      </c>
      <c r="R28" s="1" t="s">
        <v>317</v>
      </c>
      <c r="S28" s="28" t="s">
        <v>303</v>
      </c>
      <c r="T28" s="1" t="s">
        <v>304</v>
      </c>
      <c r="U28" s="1" t="s">
        <v>72</v>
      </c>
      <c r="V28" s="1" t="s">
        <v>318</v>
      </c>
      <c r="W28" s="28" t="s">
        <v>306</v>
      </c>
      <c r="X28" s="1"/>
      <c r="Y28" s="1" t="s">
        <v>72</v>
      </c>
      <c r="Z28" s="1" t="s">
        <v>319</v>
      </c>
      <c r="AA28" s="29" t="s">
        <v>308</v>
      </c>
      <c r="AB28" s="1" t="s">
        <v>306</v>
      </c>
      <c r="AC28" s="1" t="s">
        <v>72</v>
      </c>
      <c r="AD28" s="1" t="s">
        <v>320</v>
      </c>
      <c r="AE28" s="1" t="s">
        <v>321</v>
      </c>
      <c r="AF28" s="1" t="s">
        <v>322</v>
      </c>
      <c r="AG28" s="1" t="s">
        <v>323</v>
      </c>
      <c r="AH28" s="1" t="s">
        <v>87</v>
      </c>
    </row>
    <row r="29" spans="1:34" ht="79.5" customHeight="1">
      <c r="A29" s="2" t="s">
        <v>43</v>
      </c>
      <c r="B29" s="2" t="s">
        <v>291</v>
      </c>
      <c r="C29" s="2" t="s">
        <v>292</v>
      </c>
      <c r="D29" s="2" t="s">
        <v>324</v>
      </c>
      <c r="E29" s="2" t="s">
        <v>325</v>
      </c>
      <c r="F29" s="2" t="s">
        <v>326</v>
      </c>
      <c r="G29" s="28" t="s">
        <v>296</v>
      </c>
      <c r="H29" s="2" t="s">
        <v>297</v>
      </c>
      <c r="I29" s="2" t="s">
        <v>72</v>
      </c>
      <c r="J29" s="2" t="s">
        <v>327</v>
      </c>
      <c r="K29" s="2" t="s">
        <v>299</v>
      </c>
      <c r="L29" s="2" t="s">
        <v>144</v>
      </c>
      <c r="M29" s="2" t="s">
        <v>299</v>
      </c>
      <c r="N29" s="2" t="s">
        <v>144</v>
      </c>
      <c r="O29" s="28" t="s">
        <v>300</v>
      </c>
      <c r="P29" s="2" t="s">
        <v>301</v>
      </c>
      <c r="Q29" s="2" t="s">
        <v>72</v>
      </c>
      <c r="R29" s="2" t="s">
        <v>328</v>
      </c>
      <c r="S29" s="28" t="s">
        <v>303</v>
      </c>
      <c r="T29" s="2" t="s">
        <v>304</v>
      </c>
      <c r="U29" s="2" t="s">
        <v>72</v>
      </c>
      <c r="V29" s="2" t="s">
        <v>329</v>
      </c>
      <c r="W29" s="28" t="s">
        <v>306</v>
      </c>
      <c r="X29" s="2"/>
      <c r="Y29" s="2" t="s">
        <v>72</v>
      </c>
      <c r="Z29" s="2" t="s">
        <v>330</v>
      </c>
      <c r="AA29" s="28" t="s">
        <v>308</v>
      </c>
      <c r="AB29" s="2" t="s">
        <v>306</v>
      </c>
      <c r="AC29" s="2" t="s">
        <v>72</v>
      </c>
      <c r="AD29" s="2" t="s">
        <v>331</v>
      </c>
      <c r="AE29" s="2" t="s">
        <v>332</v>
      </c>
      <c r="AF29" s="2" t="s">
        <v>333</v>
      </c>
      <c r="AG29" s="2" t="s">
        <v>334</v>
      </c>
      <c r="AH29" s="2" t="s">
        <v>87</v>
      </c>
    </row>
    <row r="30" spans="1:34" ht="63.75" customHeight="1">
      <c r="A30" s="1" t="s">
        <v>43</v>
      </c>
      <c r="B30" s="1" t="s">
        <v>291</v>
      </c>
      <c r="C30" s="1" t="s">
        <v>292</v>
      </c>
      <c r="D30" s="1" t="s">
        <v>335</v>
      </c>
      <c r="E30" s="34" t="s">
        <v>336</v>
      </c>
      <c r="F30" s="1" t="s">
        <v>337</v>
      </c>
      <c r="G30" s="29" t="s">
        <v>296</v>
      </c>
      <c r="H30" s="1" t="s">
        <v>297</v>
      </c>
      <c r="I30" s="1" t="s">
        <v>72</v>
      </c>
      <c r="J30" s="1" t="s">
        <v>338</v>
      </c>
      <c r="K30" s="1" t="s">
        <v>299</v>
      </c>
      <c r="L30" s="1" t="s">
        <v>144</v>
      </c>
      <c r="M30" s="1" t="s">
        <v>299</v>
      </c>
      <c r="N30" s="1" t="s">
        <v>144</v>
      </c>
      <c r="O30" s="29" t="s">
        <v>300</v>
      </c>
      <c r="P30" s="1" t="s">
        <v>301</v>
      </c>
      <c r="Q30" s="1" t="s">
        <v>72</v>
      </c>
      <c r="R30" s="1" t="s">
        <v>339</v>
      </c>
      <c r="S30" s="28" t="s">
        <v>303</v>
      </c>
      <c r="T30" s="1" t="s">
        <v>304</v>
      </c>
      <c r="U30" s="1" t="s">
        <v>72</v>
      </c>
      <c r="V30" s="1" t="s">
        <v>340</v>
      </c>
      <c r="W30" s="28" t="s">
        <v>306</v>
      </c>
      <c r="X30" s="1"/>
      <c r="Y30" s="1" t="s">
        <v>72</v>
      </c>
      <c r="Z30" s="1" t="s">
        <v>341</v>
      </c>
      <c r="AA30" s="29" t="s">
        <v>308</v>
      </c>
      <c r="AB30" s="1" t="s">
        <v>306</v>
      </c>
      <c r="AC30" s="1" t="s">
        <v>72</v>
      </c>
      <c r="AD30" s="1" t="s">
        <v>342</v>
      </c>
      <c r="AE30" s="1" t="s">
        <v>343</v>
      </c>
      <c r="AF30" s="1" t="s">
        <v>344</v>
      </c>
      <c r="AG30" s="1" t="s">
        <v>345</v>
      </c>
      <c r="AH30" s="1" t="s">
        <v>87</v>
      </c>
    </row>
    <row r="31" spans="1:34" ht="45" customHeight="1">
      <c r="A31" s="2" t="s">
        <v>43</v>
      </c>
      <c r="B31" s="2" t="s">
        <v>291</v>
      </c>
      <c r="C31" s="2" t="s">
        <v>292</v>
      </c>
      <c r="D31" s="2" t="s">
        <v>346</v>
      </c>
      <c r="E31" s="2" t="s">
        <v>347</v>
      </c>
      <c r="F31" s="2" t="s">
        <v>348</v>
      </c>
      <c r="G31" s="28" t="s">
        <v>296</v>
      </c>
      <c r="H31" s="2" t="s">
        <v>297</v>
      </c>
      <c r="I31" s="2" t="s">
        <v>72</v>
      </c>
      <c r="J31" s="2" t="s">
        <v>349</v>
      </c>
      <c r="K31" s="2" t="s">
        <v>299</v>
      </c>
      <c r="L31" s="2" t="s">
        <v>144</v>
      </c>
      <c r="M31" s="2" t="s">
        <v>299</v>
      </c>
      <c r="N31" s="2" t="s">
        <v>144</v>
      </c>
      <c r="O31" s="28" t="s">
        <v>300</v>
      </c>
      <c r="P31" s="2" t="s">
        <v>301</v>
      </c>
      <c r="Q31" s="2" t="s">
        <v>79</v>
      </c>
      <c r="R31" s="2" t="s">
        <v>350</v>
      </c>
      <c r="S31" s="28" t="s">
        <v>303</v>
      </c>
      <c r="T31" s="2" t="s">
        <v>304</v>
      </c>
      <c r="U31" s="2" t="s">
        <v>72</v>
      </c>
      <c r="V31" s="2" t="s">
        <v>351</v>
      </c>
      <c r="W31" s="28" t="s">
        <v>306</v>
      </c>
      <c r="X31" s="2"/>
      <c r="Y31" s="2" t="s">
        <v>72</v>
      </c>
      <c r="Z31" s="2" t="s">
        <v>352</v>
      </c>
      <c r="AA31" s="28" t="s">
        <v>308</v>
      </c>
      <c r="AB31" s="2" t="s">
        <v>306</v>
      </c>
      <c r="AC31" s="2" t="s">
        <v>72</v>
      </c>
      <c r="AD31" s="2" t="s">
        <v>353</v>
      </c>
      <c r="AE31" s="2" t="s">
        <v>354</v>
      </c>
      <c r="AF31" s="2" t="s">
        <v>355</v>
      </c>
      <c r="AG31" s="2" t="s">
        <v>356</v>
      </c>
      <c r="AH31" s="2" t="s">
        <v>87</v>
      </c>
    </row>
    <row r="32" spans="1:34" ht="45" customHeight="1">
      <c r="A32" s="1" t="s">
        <v>43</v>
      </c>
      <c r="B32" s="1" t="s">
        <v>291</v>
      </c>
      <c r="C32" s="1" t="s">
        <v>292</v>
      </c>
      <c r="D32" s="1" t="s">
        <v>357</v>
      </c>
      <c r="E32" s="34" t="s">
        <v>358</v>
      </c>
      <c r="F32" s="1" t="s">
        <v>359</v>
      </c>
      <c r="G32" s="29" t="s">
        <v>296</v>
      </c>
      <c r="H32" s="1" t="s">
        <v>297</v>
      </c>
      <c r="I32" s="1" t="s">
        <v>72</v>
      </c>
      <c r="J32" s="1" t="s">
        <v>360</v>
      </c>
      <c r="K32" s="1" t="s">
        <v>299</v>
      </c>
      <c r="L32" s="1" t="s">
        <v>144</v>
      </c>
      <c r="M32" s="1" t="s">
        <v>299</v>
      </c>
      <c r="N32" s="1" t="s">
        <v>144</v>
      </c>
      <c r="O32" s="29" t="s">
        <v>300</v>
      </c>
      <c r="P32" s="1" t="s">
        <v>301</v>
      </c>
      <c r="Q32" s="1" t="s">
        <v>72</v>
      </c>
      <c r="R32" s="1" t="s">
        <v>361</v>
      </c>
      <c r="S32" s="28" t="s">
        <v>303</v>
      </c>
      <c r="T32" s="1" t="s">
        <v>304</v>
      </c>
      <c r="U32" s="1" t="s">
        <v>72</v>
      </c>
      <c r="V32" s="1" t="s">
        <v>362</v>
      </c>
      <c r="W32" s="28" t="s">
        <v>306</v>
      </c>
      <c r="X32" s="1"/>
      <c r="Y32" s="1" t="s">
        <v>72</v>
      </c>
      <c r="Z32" s="1" t="s">
        <v>363</v>
      </c>
      <c r="AA32" s="29" t="s">
        <v>308</v>
      </c>
      <c r="AB32" s="1" t="s">
        <v>306</v>
      </c>
      <c r="AC32" s="1" t="s">
        <v>72</v>
      </c>
      <c r="AD32" s="1" t="s">
        <v>364</v>
      </c>
      <c r="AE32" s="1" t="s">
        <v>365</v>
      </c>
      <c r="AF32" s="1" t="s">
        <v>366</v>
      </c>
      <c r="AG32" s="1" t="s">
        <v>367</v>
      </c>
      <c r="AH32" s="1" t="s">
        <v>87</v>
      </c>
    </row>
    <row r="33" spans="1:34" ht="45" customHeight="1">
      <c r="A33" s="2" t="s">
        <v>43</v>
      </c>
      <c r="B33" s="2" t="s">
        <v>291</v>
      </c>
      <c r="C33" s="2" t="s">
        <v>292</v>
      </c>
      <c r="D33" s="2" t="s">
        <v>368</v>
      </c>
      <c r="E33" s="2" t="s">
        <v>369</v>
      </c>
      <c r="F33" s="2" t="s">
        <v>370</v>
      </c>
      <c r="G33" s="28" t="s">
        <v>296</v>
      </c>
      <c r="H33" s="2" t="s">
        <v>297</v>
      </c>
      <c r="I33" s="2" t="s">
        <v>72</v>
      </c>
      <c r="J33" s="2" t="s">
        <v>371</v>
      </c>
      <c r="K33" s="2" t="s">
        <v>299</v>
      </c>
      <c r="L33" s="2" t="s">
        <v>144</v>
      </c>
      <c r="M33" s="2" t="s">
        <v>299</v>
      </c>
      <c r="N33" s="2" t="s">
        <v>144</v>
      </c>
      <c r="O33" s="28" t="s">
        <v>300</v>
      </c>
      <c r="P33" s="2" t="s">
        <v>301</v>
      </c>
      <c r="Q33" s="2" t="s">
        <v>79</v>
      </c>
      <c r="R33" s="2" t="s">
        <v>372</v>
      </c>
      <c r="S33" s="28" t="s">
        <v>303</v>
      </c>
      <c r="T33" s="2" t="s">
        <v>304</v>
      </c>
      <c r="U33" s="2" t="s">
        <v>72</v>
      </c>
      <c r="V33" s="2" t="s">
        <v>373</v>
      </c>
      <c r="W33" s="28" t="s">
        <v>306</v>
      </c>
      <c r="X33" s="2"/>
      <c r="Y33" s="2" t="s">
        <v>72</v>
      </c>
      <c r="Z33" s="2" t="s">
        <v>374</v>
      </c>
      <c r="AA33" s="28" t="s">
        <v>308</v>
      </c>
      <c r="AB33" s="2" t="s">
        <v>306</v>
      </c>
      <c r="AC33" s="2" t="s">
        <v>72</v>
      </c>
      <c r="AD33" s="2" t="s">
        <v>375</v>
      </c>
      <c r="AE33" s="2" t="s">
        <v>376</v>
      </c>
      <c r="AF33" s="2" t="s">
        <v>377</v>
      </c>
      <c r="AG33" s="2" t="s">
        <v>378</v>
      </c>
      <c r="AH33" s="2" t="s">
        <v>87</v>
      </c>
    </row>
    <row r="34" spans="1:34" ht="78.75" customHeight="1">
      <c r="A34" s="1" t="s">
        <v>43</v>
      </c>
      <c r="B34" s="1" t="s">
        <v>291</v>
      </c>
      <c r="C34" s="1" t="s">
        <v>292</v>
      </c>
      <c r="D34" s="1" t="s">
        <v>379</v>
      </c>
      <c r="E34" s="34" t="s">
        <v>380</v>
      </c>
      <c r="F34" s="1" t="s">
        <v>381</v>
      </c>
      <c r="G34" s="29" t="s">
        <v>296</v>
      </c>
      <c r="H34" s="1" t="s">
        <v>297</v>
      </c>
      <c r="I34" s="1" t="s">
        <v>72</v>
      </c>
      <c r="J34" s="1" t="s">
        <v>382</v>
      </c>
      <c r="K34" s="1" t="s">
        <v>299</v>
      </c>
      <c r="L34" s="1" t="s">
        <v>144</v>
      </c>
      <c r="M34" s="1" t="s">
        <v>299</v>
      </c>
      <c r="N34" s="1" t="s">
        <v>144</v>
      </c>
      <c r="O34" s="29" t="s">
        <v>300</v>
      </c>
      <c r="P34" s="1" t="s">
        <v>301</v>
      </c>
      <c r="Q34" s="1" t="s">
        <v>72</v>
      </c>
      <c r="R34" s="1" t="s">
        <v>383</v>
      </c>
      <c r="S34" s="28" t="s">
        <v>303</v>
      </c>
      <c r="T34" s="1" t="s">
        <v>304</v>
      </c>
      <c r="U34" s="1" t="s">
        <v>72</v>
      </c>
      <c r="V34" s="1" t="s">
        <v>384</v>
      </c>
      <c r="W34" s="28" t="s">
        <v>306</v>
      </c>
      <c r="X34" s="1"/>
      <c r="Y34" s="1" t="s">
        <v>72</v>
      </c>
      <c r="Z34" s="1" t="s">
        <v>385</v>
      </c>
      <c r="AA34" s="29" t="s">
        <v>308</v>
      </c>
      <c r="AB34" s="1" t="s">
        <v>306</v>
      </c>
      <c r="AC34" s="1" t="s">
        <v>72</v>
      </c>
      <c r="AD34" s="1" t="s">
        <v>386</v>
      </c>
      <c r="AE34" s="1" t="s">
        <v>387</v>
      </c>
      <c r="AF34" s="1" t="s">
        <v>388</v>
      </c>
      <c r="AG34" s="1" t="s">
        <v>389</v>
      </c>
      <c r="AH34" s="1" t="s">
        <v>87</v>
      </c>
    </row>
    <row r="35" spans="1:34" ht="45" customHeight="1">
      <c r="A35" s="2" t="s">
        <v>43</v>
      </c>
      <c r="B35" s="2" t="s">
        <v>291</v>
      </c>
      <c r="C35" s="2" t="s">
        <v>292</v>
      </c>
      <c r="D35" s="2" t="s">
        <v>390</v>
      </c>
      <c r="E35" s="2" t="s">
        <v>391</v>
      </c>
      <c r="F35" s="2" t="s">
        <v>392</v>
      </c>
      <c r="G35" s="28" t="s">
        <v>296</v>
      </c>
      <c r="H35" s="2" t="s">
        <v>297</v>
      </c>
      <c r="I35" s="2" t="s">
        <v>72</v>
      </c>
      <c r="J35" s="2" t="s">
        <v>393</v>
      </c>
      <c r="K35" s="2" t="s">
        <v>299</v>
      </c>
      <c r="L35" s="2" t="s">
        <v>144</v>
      </c>
      <c r="M35" s="2" t="s">
        <v>299</v>
      </c>
      <c r="N35" s="2" t="s">
        <v>144</v>
      </c>
      <c r="O35" s="28" t="s">
        <v>300</v>
      </c>
      <c r="P35" s="2" t="s">
        <v>301</v>
      </c>
      <c r="Q35" s="2" t="s">
        <v>79</v>
      </c>
      <c r="R35" s="2" t="s">
        <v>394</v>
      </c>
      <c r="S35" s="28" t="s">
        <v>303</v>
      </c>
      <c r="T35" s="2" t="s">
        <v>304</v>
      </c>
      <c r="U35" s="2" t="s">
        <v>72</v>
      </c>
      <c r="V35" s="2" t="s">
        <v>395</v>
      </c>
      <c r="W35" s="2" t="s">
        <v>396</v>
      </c>
      <c r="X35" s="2"/>
      <c r="Y35" s="2" t="s">
        <v>72</v>
      </c>
      <c r="Z35" s="2" t="s">
        <v>397</v>
      </c>
      <c r="AA35" s="28" t="s">
        <v>308</v>
      </c>
      <c r="AB35" s="2" t="s">
        <v>306</v>
      </c>
      <c r="AC35" s="2" t="s">
        <v>72</v>
      </c>
      <c r="AD35" s="2" t="s">
        <v>398</v>
      </c>
      <c r="AE35" s="2" t="s">
        <v>399</v>
      </c>
      <c r="AF35" s="2" t="s">
        <v>400</v>
      </c>
      <c r="AG35" s="2" t="s">
        <v>401</v>
      </c>
      <c r="AH35" s="2" t="s">
        <v>87</v>
      </c>
    </row>
    <row r="36" spans="1:34" ht="45" customHeight="1">
      <c r="A36" s="1" t="s">
        <v>43</v>
      </c>
      <c r="B36" s="1" t="s">
        <v>291</v>
      </c>
      <c r="C36" s="1" t="s">
        <v>292</v>
      </c>
      <c r="D36" s="1" t="s">
        <v>402</v>
      </c>
      <c r="E36" s="34" t="s">
        <v>403</v>
      </c>
      <c r="F36" s="1" t="s">
        <v>404</v>
      </c>
      <c r="G36" s="29" t="s">
        <v>296</v>
      </c>
      <c r="H36" s="1" t="s">
        <v>297</v>
      </c>
      <c r="I36" s="1" t="s">
        <v>72</v>
      </c>
      <c r="J36" s="1" t="s">
        <v>405</v>
      </c>
      <c r="K36" s="1" t="s">
        <v>299</v>
      </c>
      <c r="L36" s="1" t="s">
        <v>144</v>
      </c>
      <c r="M36" s="1" t="s">
        <v>299</v>
      </c>
      <c r="N36" s="1" t="s">
        <v>144</v>
      </c>
      <c r="O36" s="29" t="s">
        <v>300</v>
      </c>
      <c r="P36" s="1" t="s">
        <v>301</v>
      </c>
      <c r="Q36" s="1" t="s">
        <v>72</v>
      </c>
      <c r="R36" s="1" t="s">
        <v>406</v>
      </c>
      <c r="S36" s="28" t="s">
        <v>303</v>
      </c>
      <c r="T36" s="1" t="s">
        <v>304</v>
      </c>
      <c r="U36" s="1" t="s">
        <v>72</v>
      </c>
      <c r="V36" s="1" t="s">
        <v>407</v>
      </c>
      <c r="W36" s="29" t="s">
        <v>306</v>
      </c>
      <c r="X36" s="1"/>
      <c r="Y36" s="1" t="s">
        <v>72</v>
      </c>
      <c r="Z36" s="1" t="s">
        <v>408</v>
      </c>
      <c r="AA36" s="29" t="s">
        <v>308</v>
      </c>
      <c r="AB36" s="1" t="s">
        <v>306</v>
      </c>
      <c r="AC36" s="1" t="s">
        <v>72</v>
      </c>
      <c r="AD36" s="1" t="s">
        <v>409</v>
      </c>
      <c r="AE36" s="1" t="s">
        <v>410</v>
      </c>
      <c r="AF36" s="1" t="s">
        <v>411</v>
      </c>
      <c r="AG36" s="1" t="s">
        <v>412</v>
      </c>
      <c r="AH36" s="1" t="s">
        <v>87</v>
      </c>
    </row>
    <row r="37" spans="1:34" ht="45" customHeight="1">
      <c r="A37" s="2" t="s">
        <v>43</v>
      </c>
      <c r="B37" s="2" t="s">
        <v>291</v>
      </c>
      <c r="C37" s="2" t="s">
        <v>292</v>
      </c>
      <c r="D37" s="2" t="s">
        <v>413</v>
      </c>
      <c r="E37" s="2" t="s">
        <v>414</v>
      </c>
      <c r="F37" s="2" t="s">
        <v>415</v>
      </c>
      <c r="G37" s="28" t="s">
        <v>296</v>
      </c>
      <c r="H37" s="2" t="s">
        <v>297</v>
      </c>
      <c r="I37" s="2" t="s">
        <v>72</v>
      </c>
      <c r="J37" s="2" t="s">
        <v>416</v>
      </c>
      <c r="K37" s="2" t="s">
        <v>299</v>
      </c>
      <c r="L37" s="2" t="s">
        <v>144</v>
      </c>
      <c r="M37" s="2" t="s">
        <v>299</v>
      </c>
      <c r="N37" s="2" t="s">
        <v>144</v>
      </c>
      <c r="O37" s="28" t="s">
        <v>300</v>
      </c>
      <c r="P37" s="2" t="s">
        <v>301</v>
      </c>
      <c r="Q37" s="2" t="s">
        <v>72</v>
      </c>
      <c r="R37" s="2" t="s">
        <v>417</v>
      </c>
      <c r="S37" s="28" t="s">
        <v>303</v>
      </c>
      <c r="T37" s="2" t="s">
        <v>304</v>
      </c>
      <c r="U37" s="2" t="s">
        <v>72</v>
      </c>
      <c r="V37" s="2" t="s">
        <v>418</v>
      </c>
      <c r="W37" s="29" t="s">
        <v>306</v>
      </c>
      <c r="X37" s="2"/>
      <c r="Y37" s="2" t="s">
        <v>79</v>
      </c>
      <c r="Z37" s="2" t="s">
        <v>419</v>
      </c>
      <c r="AA37" s="28" t="s">
        <v>308</v>
      </c>
      <c r="AB37" s="2" t="s">
        <v>306</v>
      </c>
      <c r="AC37" s="2" t="s">
        <v>72</v>
      </c>
      <c r="AD37" s="2" t="s">
        <v>420</v>
      </c>
      <c r="AE37" s="2" t="s">
        <v>421</v>
      </c>
      <c r="AF37" s="2" t="s">
        <v>422</v>
      </c>
      <c r="AG37" s="2" t="s">
        <v>423</v>
      </c>
      <c r="AH37" s="2" t="s">
        <v>87</v>
      </c>
    </row>
    <row r="38" spans="1:34" ht="93" customHeight="1">
      <c r="A38" s="1" t="s">
        <v>43</v>
      </c>
      <c r="B38" s="1" t="s">
        <v>291</v>
      </c>
      <c r="C38" s="1" t="s">
        <v>292</v>
      </c>
      <c r="D38" s="1" t="s">
        <v>424</v>
      </c>
      <c r="E38" s="34" t="s">
        <v>425</v>
      </c>
      <c r="F38" s="1" t="s">
        <v>426</v>
      </c>
      <c r="G38" s="29" t="s">
        <v>296</v>
      </c>
      <c r="H38" s="1" t="s">
        <v>297</v>
      </c>
      <c r="I38" s="1" t="s">
        <v>72</v>
      </c>
      <c r="J38" s="1" t="s">
        <v>427</v>
      </c>
      <c r="K38" s="1" t="s">
        <v>299</v>
      </c>
      <c r="L38" s="1" t="s">
        <v>144</v>
      </c>
      <c r="M38" s="1" t="s">
        <v>299</v>
      </c>
      <c r="N38" s="1" t="s">
        <v>144</v>
      </c>
      <c r="O38" s="29" t="s">
        <v>300</v>
      </c>
      <c r="P38" s="1" t="s">
        <v>301</v>
      </c>
      <c r="Q38" s="1" t="s">
        <v>79</v>
      </c>
      <c r="R38" s="1" t="s">
        <v>428</v>
      </c>
      <c r="S38" s="28" t="s">
        <v>303</v>
      </c>
      <c r="T38" s="1" t="s">
        <v>304</v>
      </c>
      <c r="U38" s="1" t="s">
        <v>72</v>
      </c>
      <c r="V38" s="1" t="s">
        <v>429</v>
      </c>
      <c r="W38" s="29" t="s">
        <v>306</v>
      </c>
      <c r="X38" s="1"/>
      <c r="Y38" s="1" t="s">
        <v>72</v>
      </c>
      <c r="Z38" s="1" t="s">
        <v>430</v>
      </c>
      <c r="AA38" s="29" t="s">
        <v>308</v>
      </c>
      <c r="AB38" s="1" t="s">
        <v>306</v>
      </c>
      <c r="AC38" s="1" t="s">
        <v>72</v>
      </c>
      <c r="AD38" s="1" t="s">
        <v>431</v>
      </c>
      <c r="AE38" s="1" t="s">
        <v>432</v>
      </c>
      <c r="AF38" s="1" t="s">
        <v>433</v>
      </c>
      <c r="AG38" s="1" t="s">
        <v>434</v>
      </c>
      <c r="AH38" s="1" t="s">
        <v>87</v>
      </c>
    </row>
    <row r="39" spans="1:34" ht="20.100000000000001" customHeight="1">
      <c r="A39" s="3" t="s">
        <v>435</v>
      </c>
      <c r="B39" s="3"/>
      <c r="C39" s="3"/>
      <c r="D39" s="3"/>
      <c r="E39" s="3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row>
    <row r="40" spans="1:34" ht="45" customHeight="1">
      <c r="A40" s="2" t="s">
        <v>43</v>
      </c>
      <c r="B40" s="2" t="s">
        <v>436</v>
      </c>
      <c r="C40" s="2" t="s">
        <v>437</v>
      </c>
      <c r="D40" s="2" t="s">
        <v>438</v>
      </c>
      <c r="E40" s="2" t="s">
        <v>439</v>
      </c>
      <c r="F40" s="2" t="s">
        <v>440</v>
      </c>
      <c r="G40" s="29" t="s">
        <v>441</v>
      </c>
      <c r="H40" s="2" t="s">
        <v>442</v>
      </c>
      <c r="I40" s="2" t="s">
        <v>72</v>
      </c>
      <c r="J40" s="2" t="s">
        <v>443</v>
      </c>
      <c r="K40" s="2" t="s">
        <v>299</v>
      </c>
      <c r="L40" s="2" t="s">
        <v>444</v>
      </c>
      <c r="M40" s="2" t="s">
        <v>299</v>
      </c>
      <c r="N40" s="2" t="s">
        <v>444</v>
      </c>
      <c r="O40" s="28" t="s">
        <v>445</v>
      </c>
      <c r="P40" s="2" t="s">
        <v>446</v>
      </c>
      <c r="Q40" s="2" t="s">
        <v>72</v>
      </c>
      <c r="R40" s="2" t="s">
        <v>447</v>
      </c>
      <c r="S40" s="28" t="s">
        <v>448</v>
      </c>
      <c r="T40" s="2" t="s">
        <v>303</v>
      </c>
      <c r="U40" s="2" t="s">
        <v>72</v>
      </c>
      <c r="V40" s="2" t="s">
        <v>449</v>
      </c>
      <c r="W40" s="28" t="s">
        <v>450</v>
      </c>
      <c r="X40" s="2" t="s">
        <v>451</v>
      </c>
      <c r="Y40" s="2" t="s">
        <v>72</v>
      </c>
      <c r="Z40" s="2" t="s">
        <v>452</v>
      </c>
      <c r="AA40" s="28" t="s">
        <v>450</v>
      </c>
      <c r="AB40" s="14" t="s">
        <v>453</v>
      </c>
      <c r="AC40" s="2" t="s">
        <v>72</v>
      </c>
      <c r="AD40" s="2" t="s">
        <v>452</v>
      </c>
      <c r="AE40" s="2" t="s">
        <v>454</v>
      </c>
      <c r="AF40" s="2" t="s">
        <v>455</v>
      </c>
      <c r="AG40" s="2" t="s">
        <v>456</v>
      </c>
      <c r="AH40" s="2" t="s">
        <v>87</v>
      </c>
    </row>
    <row r="41" spans="1:34" ht="73.5" customHeight="1">
      <c r="A41" s="1" t="s">
        <v>43</v>
      </c>
      <c r="B41" s="1" t="s">
        <v>436</v>
      </c>
      <c r="C41" s="1" t="s">
        <v>437</v>
      </c>
      <c r="D41" s="1" t="s">
        <v>457</v>
      </c>
      <c r="E41" s="34" t="s">
        <v>458</v>
      </c>
      <c r="F41" s="1" t="s">
        <v>459</v>
      </c>
      <c r="G41" s="29" t="s">
        <v>441</v>
      </c>
      <c r="H41" s="1" t="s">
        <v>460</v>
      </c>
      <c r="I41" s="1" t="s">
        <v>72</v>
      </c>
      <c r="J41" s="1" t="s">
        <v>461</v>
      </c>
      <c r="K41" s="1" t="s">
        <v>299</v>
      </c>
      <c r="L41" s="1" t="s">
        <v>444</v>
      </c>
      <c r="M41" s="1" t="s">
        <v>299</v>
      </c>
      <c r="N41" s="1" t="s">
        <v>444</v>
      </c>
      <c r="O41" s="29" t="s">
        <v>445</v>
      </c>
      <c r="P41" s="1" t="s">
        <v>446</v>
      </c>
      <c r="Q41" s="1" t="s">
        <v>72</v>
      </c>
      <c r="R41" s="1" t="s">
        <v>462</v>
      </c>
      <c r="S41" s="28" t="s">
        <v>448</v>
      </c>
      <c r="T41" s="1" t="s">
        <v>303</v>
      </c>
      <c r="U41" s="1" t="s">
        <v>72</v>
      </c>
      <c r="V41" s="1" t="s">
        <v>463</v>
      </c>
      <c r="W41" s="29" t="s">
        <v>450</v>
      </c>
      <c r="X41" s="1" t="s">
        <v>396</v>
      </c>
      <c r="Y41" s="1" t="s">
        <v>72</v>
      </c>
      <c r="Z41" s="1" t="s">
        <v>464</v>
      </c>
      <c r="AA41" s="29" t="s">
        <v>450</v>
      </c>
      <c r="AB41" s="1" t="s">
        <v>453</v>
      </c>
      <c r="AC41" s="1" t="s">
        <v>72</v>
      </c>
      <c r="AD41" s="1" t="s">
        <v>464</v>
      </c>
      <c r="AE41" s="1" t="s">
        <v>465</v>
      </c>
      <c r="AF41" s="1" t="s">
        <v>466</v>
      </c>
      <c r="AG41" s="1" t="s">
        <v>467</v>
      </c>
      <c r="AH41" s="1" t="s">
        <v>87</v>
      </c>
    </row>
    <row r="42" spans="1:34" ht="79.5" customHeight="1">
      <c r="A42" s="2" t="s">
        <v>43</v>
      </c>
      <c r="B42" s="2" t="s">
        <v>436</v>
      </c>
      <c r="C42" s="2" t="s">
        <v>437</v>
      </c>
      <c r="D42" s="2" t="s">
        <v>468</v>
      </c>
      <c r="E42" s="2" t="s">
        <v>469</v>
      </c>
      <c r="F42" s="2" t="s">
        <v>470</v>
      </c>
      <c r="G42" s="28" t="s">
        <v>441</v>
      </c>
      <c r="H42" s="2" t="s">
        <v>460</v>
      </c>
      <c r="I42" s="2" t="s">
        <v>72</v>
      </c>
      <c r="J42" s="2" t="s">
        <v>471</v>
      </c>
      <c r="K42" s="2" t="s">
        <v>299</v>
      </c>
      <c r="L42" s="2" t="s">
        <v>444</v>
      </c>
      <c r="M42" s="2" t="s">
        <v>299</v>
      </c>
      <c r="N42" s="2" t="s">
        <v>444</v>
      </c>
      <c r="O42" s="28" t="s">
        <v>445</v>
      </c>
      <c r="P42" s="2" t="s">
        <v>446</v>
      </c>
      <c r="Q42" s="2" t="s">
        <v>72</v>
      </c>
      <c r="R42" s="2" t="s">
        <v>472</v>
      </c>
      <c r="S42" s="28" t="s">
        <v>448</v>
      </c>
      <c r="T42" s="2" t="s">
        <v>303</v>
      </c>
      <c r="U42" s="2" t="s">
        <v>72</v>
      </c>
      <c r="V42" s="2" t="s">
        <v>473</v>
      </c>
      <c r="W42" s="29" t="s">
        <v>450</v>
      </c>
      <c r="X42" s="2" t="s">
        <v>396</v>
      </c>
      <c r="Y42" s="2" t="s">
        <v>72</v>
      </c>
      <c r="Z42" s="2" t="s">
        <v>474</v>
      </c>
      <c r="AA42" s="28" t="s">
        <v>450</v>
      </c>
      <c r="AB42" s="2" t="s">
        <v>453</v>
      </c>
      <c r="AC42" s="2" t="s">
        <v>72</v>
      </c>
      <c r="AD42" s="2" t="s">
        <v>474</v>
      </c>
      <c r="AE42" s="2" t="s">
        <v>475</v>
      </c>
      <c r="AF42" s="2" t="s">
        <v>476</v>
      </c>
      <c r="AG42" s="2" t="s">
        <v>477</v>
      </c>
      <c r="AH42" s="2" t="s">
        <v>87</v>
      </c>
    </row>
    <row r="43" spans="1:34" ht="90" customHeight="1">
      <c r="A43" s="1" t="s">
        <v>43</v>
      </c>
      <c r="B43" s="1" t="s">
        <v>436</v>
      </c>
      <c r="C43" s="1" t="s">
        <v>437</v>
      </c>
      <c r="D43" s="1" t="s">
        <v>478</v>
      </c>
      <c r="E43" s="1" t="s">
        <v>479</v>
      </c>
      <c r="F43" s="1" t="s">
        <v>480</v>
      </c>
      <c r="G43" s="29" t="s">
        <v>441</v>
      </c>
      <c r="H43" s="1" t="s">
        <v>460</v>
      </c>
      <c r="I43" s="1" t="s">
        <v>72</v>
      </c>
      <c r="J43" s="1" t="s">
        <v>481</v>
      </c>
      <c r="K43" s="1" t="s">
        <v>299</v>
      </c>
      <c r="L43" s="1" t="s">
        <v>444</v>
      </c>
      <c r="M43" s="1" t="s">
        <v>299</v>
      </c>
      <c r="N43" s="1" t="s">
        <v>444</v>
      </c>
      <c r="O43" s="29" t="s">
        <v>445</v>
      </c>
      <c r="P43" s="1" t="s">
        <v>446</v>
      </c>
      <c r="Q43" s="1" t="s">
        <v>72</v>
      </c>
      <c r="R43" s="1" t="s">
        <v>482</v>
      </c>
      <c r="S43" s="28" t="s">
        <v>448</v>
      </c>
      <c r="T43" s="1" t="s">
        <v>303</v>
      </c>
      <c r="U43" s="1" t="s">
        <v>72</v>
      </c>
      <c r="V43" s="1" t="s">
        <v>483</v>
      </c>
      <c r="W43" s="29" t="s">
        <v>450</v>
      </c>
      <c r="X43" s="1" t="s">
        <v>396</v>
      </c>
      <c r="Y43" s="1" t="s">
        <v>72</v>
      </c>
      <c r="Z43" s="1" t="s">
        <v>484</v>
      </c>
      <c r="AA43" s="29" t="s">
        <v>450</v>
      </c>
      <c r="AB43" s="1" t="s">
        <v>453</v>
      </c>
      <c r="AC43" s="1" t="s">
        <v>72</v>
      </c>
      <c r="AD43" s="1" t="s">
        <v>484</v>
      </c>
      <c r="AE43" s="1" t="s">
        <v>485</v>
      </c>
      <c r="AF43" s="1" t="s">
        <v>486</v>
      </c>
      <c r="AG43" s="1" t="s">
        <v>487</v>
      </c>
      <c r="AH43" s="1" t="s">
        <v>87</v>
      </c>
    </row>
    <row r="44" spans="1:34" ht="96.75" customHeight="1">
      <c r="A44" s="2" t="s">
        <v>43</v>
      </c>
      <c r="B44" s="2" t="s">
        <v>436</v>
      </c>
      <c r="C44" s="2" t="s">
        <v>437</v>
      </c>
      <c r="D44" s="2" t="s">
        <v>488</v>
      </c>
      <c r="E44" s="2" t="s">
        <v>489</v>
      </c>
      <c r="F44" s="2" t="s">
        <v>490</v>
      </c>
      <c r="G44" s="28" t="s">
        <v>441</v>
      </c>
      <c r="H44" s="2" t="s">
        <v>442</v>
      </c>
      <c r="I44" s="2" t="s">
        <v>72</v>
      </c>
      <c r="J44" s="2" t="s">
        <v>491</v>
      </c>
      <c r="K44" s="2" t="s">
        <v>299</v>
      </c>
      <c r="L44" s="2" t="s">
        <v>444</v>
      </c>
      <c r="M44" s="2" t="s">
        <v>299</v>
      </c>
      <c r="N44" s="2" t="s">
        <v>444</v>
      </c>
      <c r="O44" s="28" t="s">
        <v>445</v>
      </c>
      <c r="P44" s="2" t="s">
        <v>446</v>
      </c>
      <c r="Q44" s="2" t="s">
        <v>72</v>
      </c>
      <c r="R44" s="2" t="s">
        <v>492</v>
      </c>
      <c r="S44" s="28" t="s">
        <v>448</v>
      </c>
      <c r="T44" s="2" t="s">
        <v>303</v>
      </c>
      <c r="U44" s="2" t="s">
        <v>72</v>
      </c>
      <c r="V44" s="2" t="s">
        <v>473</v>
      </c>
      <c r="W44" s="29" t="s">
        <v>450</v>
      </c>
      <c r="X44" s="2" t="s">
        <v>396</v>
      </c>
      <c r="Y44" s="2" t="s">
        <v>72</v>
      </c>
      <c r="Z44" s="2" t="s">
        <v>493</v>
      </c>
      <c r="AA44" s="28" t="s">
        <v>450</v>
      </c>
      <c r="AB44" s="2" t="s">
        <v>453</v>
      </c>
      <c r="AC44" s="2" t="s">
        <v>72</v>
      </c>
      <c r="AD44" s="2" t="s">
        <v>493</v>
      </c>
      <c r="AE44" s="2" t="s">
        <v>494</v>
      </c>
      <c r="AF44" s="2" t="s">
        <v>495</v>
      </c>
      <c r="AG44" s="2" t="s">
        <v>496</v>
      </c>
      <c r="AH44" s="2" t="s">
        <v>87</v>
      </c>
    </row>
    <row r="45" spans="1:34" ht="45" customHeight="1">
      <c r="A45" s="1" t="s">
        <v>43</v>
      </c>
      <c r="B45" s="1" t="s">
        <v>436</v>
      </c>
      <c r="C45" s="1" t="s">
        <v>437</v>
      </c>
      <c r="D45" s="1" t="s">
        <v>497</v>
      </c>
      <c r="E45" s="1" t="s">
        <v>498</v>
      </c>
      <c r="F45" s="1" t="s">
        <v>499</v>
      </c>
      <c r="G45" s="29" t="s">
        <v>441</v>
      </c>
      <c r="H45" s="1" t="s">
        <v>460</v>
      </c>
      <c r="I45" s="1" t="s">
        <v>72</v>
      </c>
      <c r="J45" s="1" t="s">
        <v>500</v>
      </c>
      <c r="K45" s="1" t="s">
        <v>299</v>
      </c>
      <c r="L45" s="1" t="s">
        <v>444</v>
      </c>
      <c r="M45" s="1" t="s">
        <v>299</v>
      </c>
      <c r="N45" s="1" t="s">
        <v>444</v>
      </c>
      <c r="O45" s="29" t="s">
        <v>445</v>
      </c>
      <c r="P45" s="1" t="s">
        <v>446</v>
      </c>
      <c r="Q45" s="1" t="s">
        <v>72</v>
      </c>
      <c r="R45" s="1" t="s">
        <v>501</v>
      </c>
      <c r="S45" s="28" t="s">
        <v>448</v>
      </c>
      <c r="T45" s="1" t="s">
        <v>303</v>
      </c>
      <c r="U45" s="1" t="s">
        <v>72</v>
      </c>
      <c r="V45" s="1" t="s">
        <v>502</v>
      </c>
      <c r="W45" s="29" t="s">
        <v>450</v>
      </c>
      <c r="X45" s="1" t="s">
        <v>396</v>
      </c>
      <c r="Y45" s="1" t="s">
        <v>72</v>
      </c>
      <c r="Z45" s="1" t="s">
        <v>503</v>
      </c>
      <c r="AA45" s="29" t="s">
        <v>450</v>
      </c>
      <c r="AB45" s="1" t="s">
        <v>453</v>
      </c>
      <c r="AC45" s="1" t="s">
        <v>72</v>
      </c>
      <c r="AD45" s="1" t="s">
        <v>503</v>
      </c>
      <c r="AE45" s="1" t="s">
        <v>504</v>
      </c>
      <c r="AF45" s="1" t="s">
        <v>505</v>
      </c>
      <c r="AG45" s="1" t="s">
        <v>506</v>
      </c>
      <c r="AH45" s="1" t="s">
        <v>87</v>
      </c>
    </row>
    <row r="46" spans="1:34" ht="45" customHeight="1">
      <c r="A46" s="2" t="s">
        <v>43</v>
      </c>
      <c r="B46" s="2" t="s">
        <v>436</v>
      </c>
      <c r="C46" s="2" t="s">
        <v>437</v>
      </c>
      <c r="D46" s="2" t="s">
        <v>507</v>
      </c>
      <c r="E46" s="2" t="s">
        <v>508</v>
      </c>
      <c r="F46" s="2" t="s">
        <v>509</v>
      </c>
      <c r="G46" s="28" t="s">
        <v>441</v>
      </c>
      <c r="H46" s="2" t="s">
        <v>460</v>
      </c>
      <c r="I46" s="2" t="s">
        <v>72</v>
      </c>
      <c r="J46" s="2" t="s">
        <v>510</v>
      </c>
      <c r="K46" s="2" t="s">
        <v>299</v>
      </c>
      <c r="L46" s="2" t="s">
        <v>444</v>
      </c>
      <c r="M46" s="2" t="s">
        <v>299</v>
      </c>
      <c r="N46" s="2" t="s">
        <v>444</v>
      </c>
      <c r="O46" s="28" t="s">
        <v>445</v>
      </c>
      <c r="P46" s="2" t="s">
        <v>446</v>
      </c>
      <c r="Q46" s="2" t="s">
        <v>72</v>
      </c>
      <c r="R46" s="2" t="s">
        <v>511</v>
      </c>
      <c r="S46" s="28" t="s">
        <v>448</v>
      </c>
      <c r="T46" s="2" t="s">
        <v>303</v>
      </c>
      <c r="U46" s="2" t="s">
        <v>72</v>
      </c>
      <c r="V46" s="2" t="s">
        <v>512</v>
      </c>
      <c r="W46" s="29" t="s">
        <v>450</v>
      </c>
      <c r="X46" s="2" t="s">
        <v>451</v>
      </c>
      <c r="Y46" s="2" t="s">
        <v>72</v>
      </c>
      <c r="Z46" s="2" t="s">
        <v>513</v>
      </c>
      <c r="AA46" s="28" t="s">
        <v>450</v>
      </c>
      <c r="AB46" s="2" t="s">
        <v>453</v>
      </c>
      <c r="AC46" s="2" t="s">
        <v>72</v>
      </c>
      <c r="AD46" s="2" t="s">
        <v>513</v>
      </c>
      <c r="AE46" s="2" t="s">
        <v>514</v>
      </c>
      <c r="AF46" s="2" t="s">
        <v>515</v>
      </c>
      <c r="AG46" s="2" t="s">
        <v>516</v>
      </c>
      <c r="AH46" s="2" t="s">
        <v>87</v>
      </c>
    </row>
    <row r="47" spans="1:34" ht="141.75" customHeight="1">
      <c r="A47" s="1" t="s">
        <v>43</v>
      </c>
      <c r="B47" s="1" t="s">
        <v>436</v>
      </c>
      <c r="C47" s="1" t="s">
        <v>517</v>
      </c>
      <c r="D47" s="1" t="s">
        <v>518</v>
      </c>
      <c r="E47" s="1" t="s">
        <v>519</v>
      </c>
      <c r="F47" s="1" t="s">
        <v>520</v>
      </c>
      <c r="G47" s="29" t="s">
        <v>521</v>
      </c>
      <c r="H47" s="1" t="s">
        <v>522</v>
      </c>
      <c r="I47" s="1" t="s">
        <v>72</v>
      </c>
      <c r="J47" s="1" t="s">
        <v>523</v>
      </c>
      <c r="K47" s="1" t="s">
        <v>524</v>
      </c>
      <c r="L47" s="1" t="s">
        <v>525</v>
      </c>
      <c r="M47" s="1" t="s">
        <v>526</v>
      </c>
      <c r="N47" s="1" t="s">
        <v>527</v>
      </c>
      <c r="O47" s="29" t="s">
        <v>528</v>
      </c>
      <c r="P47" s="1" t="s">
        <v>396</v>
      </c>
      <c r="Q47" s="1" t="s">
        <v>72</v>
      </c>
      <c r="R47" s="1" t="s">
        <v>529</v>
      </c>
      <c r="S47" s="29" t="s">
        <v>530</v>
      </c>
      <c r="T47" s="1" t="s">
        <v>526</v>
      </c>
      <c r="U47" s="1" t="s">
        <v>72</v>
      </c>
      <c r="V47" s="1" t="s">
        <v>531</v>
      </c>
      <c r="W47" s="29" t="s">
        <v>532</v>
      </c>
      <c r="X47" s="1"/>
      <c r="Y47" s="1" t="s">
        <v>72</v>
      </c>
      <c r="Z47" s="1" t="s">
        <v>533</v>
      </c>
      <c r="AA47" s="29" t="s">
        <v>534</v>
      </c>
      <c r="AB47" s="1" t="s">
        <v>535</v>
      </c>
      <c r="AC47" s="1" t="s">
        <v>72</v>
      </c>
      <c r="AD47" s="1" t="s">
        <v>536</v>
      </c>
      <c r="AE47" s="1" t="s">
        <v>537</v>
      </c>
      <c r="AF47" s="1" t="s">
        <v>538</v>
      </c>
      <c r="AG47" s="1" t="s">
        <v>539</v>
      </c>
      <c r="AH47" s="1" t="s">
        <v>236</v>
      </c>
    </row>
    <row r="48" spans="1:34" ht="77.25" customHeight="1">
      <c r="A48" s="2" t="s">
        <v>43</v>
      </c>
      <c r="B48" s="2" t="s">
        <v>436</v>
      </c>
      <c r="C48" s="2" t="s">
        <v>517</v>
      </c>
      <c r="D48" s="2" t="s">
        <v>540</v>
      </c>
      <c r="E48" s="2" t="s">
        <v>541</v>
      </c>
      <c r="F48" s="2" t="s">
        <v>542</v>
      </c>
      <c r="G48" s="28" t="s">
        <v>521</v>
      </c>
      <c r="H48" s="2" t="s">
        <v>522</v>
      </c>
      <c r="I48" s="2" t="s">
        <v>72</v>
      </c>
      <c r="J48" s="2" t="s">
        <v>543</v>
      </c>
      <c r="K48" s="2" t="s">
        <v>524</v>
      </c>
      <c r="L48" s="2" t="s">
        <v>525</v>
      </c>
      <c r="M48" s="2" t="s">
        <v>526</v>
      </c>
      <c r="N48" s="2" t="s">
        <v>527</v>
      </c>
      <c r="O48" s="28" t="s">
        <v>544</v>
      </c>
      <c r="P48" s="2" t="s">
        <v>396</v>
      </c>
      <c r="Q48" s="2" t="s">
        <v>72</v>
      </c>
      <c r="R48" s="2" t="s">
        <v>545</v>
      </c>
      <c r="S48" s="29" t="s">
        <v>530</v>
      </c>
      <c r="T48" s="2" t="s">
        <v>526</v>
      </c>
      <c r="U48" s="2" t="s">
        <v>72</v>
      </c>
      <c r="V48" s="2" t="s">
        <v>546</v>
      </c>
      <c r="W48" s="2" t="s">
        <v>396</v>
      </c>
      <c r="X48" s="2"/>
      <c r="Y48" s="2" t="s">
        <v>72</v>
      </c>
      <c r="Z48" s="2" t="s">
        <v>547</v>
      </c>
      <c r="AA48" s="28" t="s">
        <v>548</v>
      </c>
      <c r="AB48" s="2" t="s">
        <v>535</v>
      </c>
      <c r="AC48" s="2" t="s">
        <v>72</v>
      </c>
      <c r="AD48" s="2" t="s">
        <v>549</v>
      </c>
      <c r="AE48" s="2" t="s">
        <v>550</v>
      </c>
      <c r="AF48" s="2" t="s">
        <v>551</v>
      </c>
      <c r="AG48" s="2" t="s">
        <v>552</v>
      </c>
      <c r="AH48" s="2" t="s">
        <v>553</v>
      </c>
    </row>
    <row r="49" spans="1:34" ht="101.25" customHeight="1">
      <c r="A49" s="1" t="s">
        <v>43</v>
      </c>
      <c r="B49" s="1" t="s">
        <v>436</v>
      </c>
      <c r="C49" s="1" t="s">
        <v>517</v>
      </c>
      <c r="D49" s="1" t="s">
        <v>554</v>
      </c>
      <c r="E49" s="1" t="s">
        <v>555</v>
      </c>
      <c r="F49" s="1" t="s">
        <v>556</v>
      </c>
      <c r="G49" s="29" t="s">
        <v>521</v>
      </c>
      <c r="H49" s="1" t="s">
        <v>522</v>
      </c>
      <c r="I49" s="1" t="s">
        <v>72</v>
      </c>
      <c r="J49" s="1" t="s">
        <v>557</v>
      </c>
      <c r="K49" s="1" t="s">
        <v>524</v>
      </c>
      <c r="L49" s="1" t="s">
        <v>525</v>
      </c>
      <c r="M49" s="1" t="s">
        <v>526</v>
      </c>
      <c r="N49" s="1" t="s">
        <v>527</v>
      </c>
      <c r="O49" s="29" t="s">
        <v>558</v>
      </c>
      <c r="P49" s="1" t="s">
        <v>396</v>
      </c>
      <c r="Q49" s="1" t="s">
        <v>72</v>
      </c>
      <c r="R49" s="1" t="s">
        <v>559</v>
      </c>
      <c r="S49" s="29" t="s">
        <v>530</v>
      </c>
      <c r="T49" s="1" t="s">
        <v>526</v>
      </c>
      <c r="U49" s="1" t="s">
        <v>72</v>
      </c>
      <c r="V49" s="1" t="s">
        <v>560</v>
      </c>
      <c r="W49" s="29" t="s">
        <v>561</v>
      </c>
      <c r="X49" s="1"/>
      <c r="Y49" s="1" t="s">
        <v>72</v>
      </c>
      <c r="Z49" s="1" t="s">
        <v>562</v>
      </c>
      <c r="AA49" s="29" t="s">
        <v>563</v>
      </c>
      <c r="AB49" s="1" t="s">
        <v>535</v>
      </c>
      <c r="AC49" s="1" t="s">
        <v>72</v>
      </c>
      <c r="AD49" s="1" t="s">
        <v>564</v>
      </c>
      <c r="AE49" s="1" t="s">
        <v>565</v>
      </c>
      <c r="AF49" s="1" t="s">
        <v>566</v>
      </c>
      <c r="AG49" s="1" t="s">
        <v>567</v>
      </c>
      <c r="AH49" s="1" t="s">
        <v>236</v>
      </c>
    </row>
    <row r="50" spans="1:34" ht="86.25" customHeight="1">
      <c r="A50" s="2" t="s">
        <v>43</v>
      </c>
      <c r="B50" s="2" t="s">
        <v>436</v>
      </c>
      <c r="C50" s="2" t="s">
        <v>517</v>
      </c>
      <c r="D50" s="2" t="s">
        <v>568</v>
      </c>
      <c r="E50" s="2" t="s">
        <v>569</v>
      </c>
      <c r="F50" s="2" t="s">
        <v>570</v>
      </c>
      <c r="G50" s="28" t="s">
        <v>521</v>
      </c>
      <c r="H50" s="2" t="s">
        <v>522</v>
      </c>
      <c r="I50" s="2" t="s">
        <v>72</v>
      </c>
      <c r="J50" s="2" t="s">
        <v>571</v>
      </c>
      <c r="K50" s="2" t="s">
        <v>524</v>
      </c>
      <c r="L50" s="2" t="s">
        <v>525</v>
      </c>
      <c r="M50" s="2" t="s">
        <v>526</v>
      </c>
      <c r="N50" s="2" t="s">
        <v>527</v>
      </c>
      <c r="O50" s="28" t="s">
        <v>572</v>
      </c>
      <c r="P50" s="2" t="s">
        <v>396</v>
      </c>
      <c r="Q50" s="2" t="s">
        <v>72</v>
      </c>
      <c r="R50" s="2" t="s">
        <v>573</v>
      </c>
      <c r="S50" s="29" t="s">
        <v>530</v>
      </c>
      <c r="T50" s="2" t="s">
        <v>526</v>
      </c>
      <c r="U50" s="2" t="s">
        <v>72</v>
      </c>
      <c r="V50" s="2" t="s">
        <v>574</v>
      </c>
      <c r="W50" s="28" t="s">
        <v>561</v>
      </c>
      <c r="X50" s="2"/>
      <c r="Y50" s="2" t="s">
        <v>72</v>
      </c>
      <c r="Z50" s="2" t="s">
        <v>575</v>
      </c>
      <c r="AA50" s="28" t="s">
        <v>576</v>
      </c>
      <c r="AB50" s="2" t="s">
        <v>535</v>
      </c>
      <c r="AC50" s="2" t="s">
        <v>72</v>
      </c>
      <c r="AD50" s="2" t="s">
        <v>577</v>
      </c>
      <c r="AE50" s="2" t="s">
        <v>578</v>
      </c>
      <c r="AF50" s="2" t="s">
        <v>579</v>
      </c>
      <c r="AG50" s="2" t="s">
        <v>580</v>
      </c>
      <c r="AH50" s="2" t="s">
        <v>553</v>
      </c>
    </row>
    <row r="51" spans="1:34" ht="66" customHeight="1">
      <c r="A51" s="1" t="s">
        <v>43</v>
      </c>
      <c r="B51" s="1" t="s">
        <v>436</v>
      </c>
      <c r="C51" s="1" t="s">
        <v>517</v>
      </c>
      <c r="D51" s="1" t="s">
        <v>581</v>
      </c>
      <c r="E51" s="1" t="s">
        <v>582</v>
      </c>
      <c r="F51" s="1" t="s">
        <v>583</v>
      </c>
      <c r="G51" s="29" t="s">
        <v>521</v>
      </c>
      <c r="H51" s="1" t="s">
        <v>522</v>
      </c>
      <c r="I51" s="1" t="s">
        <v>72</v>
      </c>
      <c r="J51" s="1" t="s">
        <v>584</v>
      </c>
      <c r="K51" s="1" t="s">
        <v>524</v>
      </c>
      <c r="L51" s="1" t="s">
        <v>525</v>
      </c>
      <c r="M51" s="1" t="s">
        <v>526</v>
      </c>
      <c r="N51" s="1" t="s">
        <v>527</v>
      </c>
      <c r="O51" s="29" t="s">
        <v>585</v>
      </c>
      <c r="P51" s="1" t="s">
        <v>396</v>
      </c>
      <c r="Q51" s="1" t="s">
        <v>72</v>
      </c>
      <c r="R51" s="1" t="s">
        <v>586</v>
      </c>
      <c r="S51" s="29" t="s">
        <v>530</v>
      </c>
      <c r="T51" s="1" t="s">
        <v>526</v>
      </c>
      <c r="U51" s="1" t="s">
        <v>72</v>
      </c>
      <c r="V51" s="1" t="s">
        <v>587</v>
      </c>
      <c r="W51" s="29" t="s">
        <v>561</v>
      </c>
      <c r="X51" s="1"/>
      <c r="Y51" s="1" t="s">
        <v>72</v>
      </c>
      <c r="Z51" s="1" t="s">
        <v>588</v>
      </c>
      <c r="AA51" s="29" t="s">
        <v>589</v>
      </c>
      <c r="AB51" s="1" t="s">
        <v>535</v>
      </c>
      <c r="AC51" s="1" t="s">
        <v>72</v>
      </c>
      <c r="AD51" s="1" t="s">
        <v>590</v>
      </c>
      <c r="AE51" s="1" t="s">
        <v>591</v>
      </c>
      <c r="AF51" s="1" t="s">
        <v>592</v>
      </c>
      <c r="AG51" s="1" t="s">
        <v>593</v>
      </c>
      <c r="AH51" s="1" t="s">
        <v>236</v>
      </c>
    </row>
    <row r="52" spans="1:34" ht="96" customHeight="1">
      <c r="A52" s="2" t="s">
        <v>43</v>
      </c>
      <c r="B52" s="2" t="s">
        <v>436</v>
      </c>
      <c r="C52" s="2" t="s">
        <v>517</v>
      </c>
      <c r="D52" s="2" t="s">
        <v>594</v>
      </c>
      <c r="E52" s="2" t="s">
        <v>595</v>
      </c>
      <c r="F52" s="2" t="s">
        <v>596</v>
      </c>
      <c r="G52" s="28" t="s">
        <v>521</v>
      </c>
      <c r="H52" s="2" t="s">
        <v>522</v>
      </c>
      <c r="I52" s="2" t="s">
        <v>72</v>
      </c>
      <c r="J52" s="2" t="s">
        <v>597</v>
      </c>
      <c r="K52" s="2" t="s">
        <v>524</v>
      </c>
      <c r="L52" s="2" t="s">
        <v>525</v>
      </c>
      <c r="M52" s="2" t="s">
        <v>526</v>
      </c>
      <c r="N52" s="2" t="s">
        <v>527</v>
      </c>
      <c r="O52" s="28" t="s">
        <v>598</v>
      </c>
      <c r="P52" s="2" t="s">
        <v>396</v>
      </c>
      <c r="Q52" s="2" t="s">
        <v>72</v>
      </c>
      <c r="R52" s="2" t="s">
        <v>599</v>
      </c>
      <c r="S52" s="29" t="s">
        <v>530</v>
      </c>
      <c r="T52" s="2" t="s">
        <v>526</v>
      </c>
      <c r="U52" s="2" t="s">
        <v>72</v>
      </c>
      <c r="V52" s="2" t="s">
        <v>600</v>
      </c>
      <c r="W52" s="28" t="s">
        <v>561</v>
      </c>
      <c r="X52" s="2"/>
      <c r="Y52" s="2" t="s">
        <v>72</v>
      </c>
      <c r="Z52" s="2" t="s">
        <v>601</v>
      </c>
      <c r="AA52" s="28" t="s">
        <v>602</v>
      </c>
      <c r="AB52" s="2" t="s">
        <v>535</v>
      </c>
      <c r="AC52" s="2" t="s">
        <v>72</v>
      </c>
      <c r="AD52" s="2" t="s">
        <v>603</v>
      </c>
      <c r="AE52" s="2" t="s">
        <v>604</v>
      </c>
      <c r="AF52" s="2" t="s">
        <v>605</v>
      </c>
      <c r="AG52" s="2" t="s">
        <v>606</v>
      </c>
      <c r="AH52" s="2" t="s">
        <v>236</v>
      </c>
    </row>
    <row r="53" spans="1:34" ht="81.75" customHeight="1">
      <c r="A53" s="1" t="s">
        <v>43</v>
      </c>
      <c r="B53" s="1" t="s">
        <v>436</v>
      </c>
      <c r="C53" s="1" t="s">
        <v>517</v>
      </c>
      <c r="D53" s="1" t="s">
        <v>607</v>
      </c>
      <c r="E53" s="1" t="s">
        <v>608</v>
      </c>
      <c r="F53" s="1" t="s">
        <v>609</v>
      </c>
      <c r="G53" s="29" t="s">
        <v>521</v>
      </c>
      <c r="H53" s="1" t="s">
        <v>522</v>
      </c>
      <c r="I53" s="1" t="s">
        <v>72</v>
      </c>
      <c r="J53" s="1" t="s">
        <v>610</v>
      </c>
      <c r="K53" s="1" t="s">
        <v>524</v>
      </c>
      <c r="L53" s="1" t="s">
        <v>525</v>
      </c>
      <c r="M53" s="1" t="s">
        <v>526</v>
      </c>
      <c r="N53" s="1" t="s">
        <v>527</v>
      </c>
      <c r="O53" s="29" t="s">
        <v>611</v>
      </c>
      <c r="P53" s="1" t="s">
        <v>396</v>
      </c>
      <c r="Q53" s="1" t="s">
        <v>72</v>
      </c>
      <c r="R53" s="1" t="s">
        <v>612</v>
      </c>
      <c r="S53" s="29" t="s">
        <v>530</v>
      </c>
      <c r="T53" s="1" t="s">
        <v>526</v>
      </c>
      <c r="U53" s="1" t="s">
        <v>72</v>
      </c>
      <c r="V53" s="1" t="s">
        <v>613</v>
      </c>
      <c r="W53" s="29" t="s">
        <v>561</v>
      </c>
      <c r="X53" s="1"/>
      <c r="Y53" s="1" t="s">
        <v>79</v>
      </c>
      <c r="Z53" s="1" t="s">
        <v>614</v>
      </c>
      <c r="AA53" s="29" t="s">
        <v>563</v>
      </c>
      <c r="AB53" s="1" t="s">
        <v>535</v>
      </c>
      <c r="AC53" s="1" t="s">
        <v>72</v>
      </c>
      <c r="AD53" s="1" t="s">
        <v>615</v>
      </c>
      <c r="AE53" s="1" t="s">
        <v>616</v>
      </c>
      <c r="AF53" s="1" t="s">
        <v>617</v>
      </c>
      <c r="AG53" s="1" t="s">
        <v>618</v>
      </c>
      <c r="AH53" s="1" t="s">
        <v>236</v>
      </c>
    </row>
    <row r="54" spans="1:34" ht="98.25" customHeight="1">
      <c r="A54" s="2" t="s">
        <v>43</v>
      </c>
      <c r="B54" s="2" t="s">
        <v>436</v>
      </c>
      <c r="C54" s="2" t="s">
        <v>517</v>
      </c>
      <c r="D54" s="2" t="s">
        <v>619</v>
      </c>
      <c r="E54" s="2" t="s">
        <v>620</v>
      </c>
      <c r="F54" s="2" t="s">
        <v>621</v>
      </c>
      <c r="G54" s="28" t="s">
        <v>521</v>
      </c>
      <c r="H54" s="2" t="s">
        <v>522</v>
      </c>
      <c r="I54" s="2" t="s">
        <v>72</v>
      </c>
      <c r="J54" s="2" t="s">
        <v>622</v>
      </c>
      <c r="K54" s="2" t="s">
        <v>524</v>
      </c>
      <c r="L54" s="2" t="s">
        <v>525</v>
      </c>
      <c r="M54" s="2" t="s">
        <v>526</v>
      </c>
      <c r="N54" s="2" t="s">
        <v>527</v>
      </c>
      <c r="O54" s="28" t="s">
        <v>623</v>
      </c>
      <c r="P54" s="2" t="s">
        <v>396</v>
      </c>
      <c r="Q54" s="2" t="s">
        <v>72</v>
      </c>
      <c r="R54" s="2" t="s">
        <v>624</v>
      </c>
      <c r="S54" s="29" t="s">
        <v>530</v>
      </c>
      <c r="T54" s="2" t="s">
        <v>526</v>
      </c>
      <c r="U54" s="2" t="s">
        <v>72</v>
      </c>
      <c r="V54" s="2" t="s">
        <v>625</v>
      </c>
      <c r="W54" s="2" t="s">
        <v>396</v>
      </c>
      <c r="X54" s="2"/>
      <c r="Y54" s="2" t="s">
        <v>72</v>
      </c>
      <c r="Z54" s="2" t="s">
        <v>626</v>
      </c>
      <c r="AA54" s="28" t="s">
        <v>627</v>
      </c>
      <c r="AB54" s="2" t="s">
        <v>535</v>
      </c>
      <c r="AC54" s="2" t="s">
        <v>72</v>
      </c>
      <c r="AD54" s="2" t="s">
        <v>628</v>
      </c>
      <c r="AE54" s="2" t="s">
        <v>629</v>
      </c>
      <c r="AF54" s="2" t="s">
        <v>630</v>
      </c>
      <c r="AG54" s="2" t="s">
        <v>631</v>
      </c>
      <c r="AH54" s="2" t="s">
        <v>236</v>
      </c>
    </row>
    <row r="55" spans="1:34" ht="20.100000000000001" customHeight="1">
      <c r="A55" s="3" t="s">
        <v>632</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row>
    <row r="56" spans="1:34" ht="45" customHeight="1">
      <c r="A56" s="1" t="s">
        <v>43</v>
      </c>
      <c r="B56" s="1" t="s">
        <v>633</v>
      </c>
      <c r="C56" s="1" t="s">
        <v>634</v>
      </c>
      <c r="D56" s="1" t="s">
        <v>635</v>
      </c>
      <c r="E56" s="1" t="s">
        <v>636</v>
      </c>
      <c r="F56" s="1" t="s">
        <v>637</v>
      </c>
      <c r="G56" s="29" t="s">
        <v>91</v>
      </c>
      <c r="H56" s="1" t="s">
        <v>638</v>
      </c>
      <c r="I56" s="1" t="s">
        <v>72</v>
      </c>
      <c r="J56" s="1" t="s">
        <v>639</v>
      </c>
      <c r="K56" s="1" t="s">
        <v>640</v>
      </c>
      <c r="L56" s="1" t="s">
        <v>641</v>
      </c>
      <c r="M56" s="1" t="s">
        <v>642</v>
      </c>
      <c r="N56" s="1" t="s">
        <v>641</v>
      </c>
      <c r="O56" s="29" t="s">
        <v>643</v>
      </c>
      <c r="P56" s="1" t="s">
        <v>644</v>
      </c>
      <c r="Q56" s="1" t="s">
        <v>72</v>
      </c>
      <c r="R56" s="1" t="s">
        <v>645</v>
      </c>
      <c r="S56" s="29" t="s">
        <v>646</v>
      </c>
      <c r="T56" s="1" t="s">
        <v>647</v>
      </c>
      <c r="U56" s="1" t="s">
        <v>72</v>
      </c>
      <c r="V56" s="1" t="s">
        <v>648</v>
      </c>
      <c r="W56" s="29" t="s">
        <v>649</v>
      </c>
      <c r="X56" s="1"/>
      <c r="Y56" s="1" t="s">
        <v>72</v>
      </c>
      <c r="Z56" s="1" t="s">
        <v>650</v>
      </c>
      <c r="AA56" s="29" t="s">
        <v>651</v>
      </c>
      <c r="AB56" s="1" t="s">
        <v>652</v>
      </c>
      <c r="AC56" s="1" t="s">
        <v>72</v>
      </c>
      <c r="AD56" s="1" t="s">
        <v>653</v>
      </c>
      <c r="AE56" s="1" t="s">
        <v>654</v>
      </c>
      <c r="AF56" s="1" t="s">
        <v>655</v>
      </c>
      <c r="AG56" s="1" t="s">
        <v>656</v>
      </c>
      <c r="AH56" s="1" t="s">
        <v>87</v>
      </c>
    </row>
    <row r="57" spans="1:34" ht="45" customHeight="1">
      <c r="A57" s="2" t="s">
        <v>43</v>
      </c>
      <c r="B57" s="2" t="s">
        <v>633</v>
      </c>
      <c r="C57" s="2" t="s">
        <v>634</v>
      </c>
      <c r="D57" s="2" t="s">
        <v>657</v>
      </c>
      <c r="E57" s="2" t="s">
        <v>658</v>
      </c>
      <c r="F57" s="2" t="s">
        <v>659</v>
      </c>
      <c r="G57" s="28" t="s">
        <v>91</v>
      </c>
      <c r="H57" s="2" t="s">
        <v>638</v>
      </c>
      <c r="I57" s="2" t="s">
        <v>79</v>
      </c>
      <c r="J57" s="2" t="s">
        <v>660</v>
      </c>
      <c r="K57" s="2" t="s">
        <v>640</v>
      </c>
      <c r="L57" s="2" t="s">
        <v>641</v>
      </c>
      <c r="M57" s="2" t="s">
        <v>642</v>
      </c>
      <c r="N57" s="2" t="s">
        <v>641</v>
      </c>
      <c r="O57" s="28" t="s">
        <v>643</v>
      </c>
      <c r="P57" s="2" t="s">
        <v>644</v>
      </c>
      <c r="Q57" s="2" t="s">
        <v>72</v>
      </c>
      <c r="R57" s="2" t="s">
        <v>661</v>
      </c>
      <c r="S57" s="29" t="s">
        <v>646</v>
      </c>
      <c r="T57" s="2" t="s">
        <v>647</v>
      </c>
      <c r="U57" s="2" t="s">
        <v>72</v>
      </c>
      <c r="V57" s="2" t="s">
        <v>662</v>
      </c>
      <c r="W57" s="29" t="s">
        <v>649</v>
      </c>
      <c r="X57" s="2"/>
      <c r="Y57" s="2" t="s">
        <v>72</v>
      </c>
      <c r="Z57" s="2" t="s">
        <v>663</v>
      </c>
      <c r="AA57" s="28" t="s">
        <v>651</v>
      </c>
      <c r="AB57" s="2" t="s">
        <v>652</v>
      </c>
      <c r="AC57" s="2" t="s">
        <v>72</v>
      </c>
      <c r="AD57" s="2" t="s">
        <v>664</v>
      </c>
      <c r="AE57" s="2" t="s">
        <v>665</v>
      </c>
      <c r="AF57" s="2" t="s">
        <v>666</v>
      </c>
      <c r="AG57" s="2" t="s">
        <v>667</v>
      </c>
      <c r="AH57" s="2" t="s">
        <v>87</v>
      </c>
    </row>
    <row r="58" spans="1:34" ht="45" customHeight="1">
      <c r="A58" s="1" t="s">
        <v>43</v>
      </c>
      <c r="B58" s="1" t="s">
        <v>633</v>
      </c>
      <c r="C58" s="1" t="s">
        <v>634</v>
      </c>
      <c r="D58" s="1" t="s">
        <v>668</v>
      </c>
      <c r="E58" s="1" t="s">
        <v>669</v>
      </c>
      <c r="F58" s="1" t="s">
        <v>670</v>
      </c>
      <c r="G58" s="29" t="s">
        <v>91</v>
      </c>
      <c r="H58" s="1" t="s">
        <v>638</v>
      </c>
      <c r="I58" s="1" t="s">
        <v>72</v>
      </c>
      <c r="J58" s="1" t="s">
        <v>671</v>
      </c>
      <c r="K58" s="1" t="s">
        <v>640</v>
      </c>
      <c r="L58" s="1" t="s">
        <v>641</v>
      </c>
      <c r="M58" s="1" t="s">
        <v>642</v>
      </c>
      <c r="N58" s="1" t="s">
        <v>641</v>
      </c>
      <c r="O58" s="29" t="s">
        <v>643</v>
      </c>
      <c r="P58" s="1" t="s">
        <v>644</v>
      </c>
      <c r="Q58" s="1" t="s">
        <v>72</v>
      </c>
      <c r="R58" s="1" t="s">
        <v>672</v>
      </c>
      <c r="S58" s="29" t="s">
        <v>646</v>
      </c>
      <c r="T58" s="1" t="s">
        <v>647</v>
      </c>
      <c r="U58" s="1" t="s">
        <v>72</v>
      </c>
      <c r="V58" s="1" t="s">
        <v>673</v>
      </c>
      <c r="W58" s="29" t="s">
        <v>649</v>
      </c>
      <c r="X58" s="1"/>
      <c r="Y58" s="1" t="s">
        <v>72</v>
      </c>
      <c r="Z58" s="1" t="s">
        <v>674</v>
      </c>
      <c r="AA58" s="29" t="s">
        <v>651</v>
      </c>
      <c r="AB58" s="1" t="s">
        <v>652</v>
      </c>
      <c r="AC58" s="1" t="s">
        <v>72</v>
      </c>
      <c r="AD58" s="1" t="s">
        <v>675</v>
      </c>
      <c r="AE58" s="1" t="s">
        <v>676</v>
      </c>
      <c r="AF58" s="1" t="s">
        <v>677</v>
      </c>
      <c r="AG58" s="1" t="s">
        <v>678</v>
      </c>
      <c r="AH58" s="1" t="s">
        <v>87</v>
      </c>
    </row>
    <row r="59" spans="1:34" ht="45" customHeight="1">
      <c r="A59" s="2" t="s">
        <v>43</v>
      </c>
      <c r="B59" s="2" t="s">
        <v>633</v>
      </c>
      <c r="C59" s="2" t="s">
        <v>634</v>
      </c>
      <c r="D59" s="2" t="s">
        <v>679</v>
      </c>
      <c r="E59" s="2" t="s">
        <v>680</v>
      </c>
      <c r="F59" s="2" t="s">
        <v>681</v>
      </c>
      <c r="G59" s="28" t="s">
        <v>91</v>
      </c>
      <c r="H59" s="1" t="s">
        <v>638</v>
      </c>
      <c r="I59" s="2" t="s">
        <v>79</v>
      </c>
      <c r="J59" s="2" t="s">
        <v>682</v>
      </c>
      <c r="K59" s="2" t="s">
        <v>640</v>
      </c>
      <c r="L59" s="2" t="s">
        <v>641</v>
      </c>
      <c r="M59" s="2" t="s">
        <v>642</v>
      </c>
      <c r="N59" s="2" t="s">
        <v>641</v>
      </c>
      <c r="O59" s="28" t="s">
        <v>643</v>
      </c>
      <c r="P59" s="2" t="s">
        <v>644</v>
      </c>
      <c r="Q59" s="2" t="s">
        <v>72</v>
      </c>
      <c r="R59" s="2" t="s">
        <v>683</v>
      </c>
      <c r="S59" s="29" t="s">
        <v>646</v>
      </c>
      <c r="T59" s="2" t="s">
        <v>647</v>
      </c>
      <c r="U59" s="2" t="s">
        <v>72</v>
      </c>
      <c r="V59" s="2" t="s">
        <v>684</v>
      </c>
      <c r="W59" s="29" t="s">
        <v>649</v>
      </c>
      <c r="X59" s="2"/>
      <c r="Y59" s="2" t="s">
        <v>72</v>
      </c>
      <c r="Z59" s="2" t="s">
        <v>685</v>
      </c>
      <c r="AA59" s="28" t="s">
        <v>651</v>
      </c>
      <c r="AB59" s="2" t="s">
        <v>652</v>
      </c>
      <c r="AC59" s="2" t="s">
        <v>72</v>
      </c>
      <c r="AD59" s="2" t="s">
        <v>686</v>
      </c>
      <c r="AE59" s="2" t="s">
        <v>687</v>
      </c>
      <c r="AF59" s="2" t="s">
        <v>688</v>
      </c>
      <c r="AG59" s="2" t="s">
        <v>689</v>
      </c>
      <c r="AH59" s="2" t="s">
        <v>87</v>
      </c>
    </row>
    <row r="60" spans="1:34" ht="45" customHeight="1">
      <c r="A60" s="1" t="s">
        <v>43</v>
      </c>
      <c r="B60" s="1" t="s">
        <v>633</v>
      </c>
      <c r="C60" s="1" t="s">
        <v>634</v>
      </c>
      <c r="D60" s="1" t="s">
        <v>690</v>
      </c>
      <c r="E60" s="1" t="s">
        <v>691</v>
      </c>
      <c r="F60" s="1" t="s">
        <v>692</v>
      </c>
      <c r="G60" s="29" t="s">
        <v>91</v>
      </c>
      <c r="H60" s="1" t="s">
        <v>638</v>
      </c>
      <c r="I60" s="1" t="s">
        <v>79</v>
      </c>
      <c r="J60" s="1" t="s">
        <v>693</v>
      </c>
      <c r="K60" s="1" t="s">
        <v>640</v>
      </c>
      <c r="L60" s="1" t="s">
        <v>641</v>
      </c>
      <c r="M60" s="1" t="s">
        <v>642</v>
      </c>
      <c r="N60" s="1" t="s">
        <v>641</v>
      </c>
      <c r="O60" s="29" t="s">
        <v>643</v>
      </c>
      <c r="P60" s="1" t="s">
        <v>644</v>
      </c>
      <c r="Q60" s="1" t="s">
        <v>72</v>
      </c>
      <c r="R60" s="1" t="s">
        <v>694</v>
      </c>
      <c r="S60" s="29" t="s">
        <v>646</v>
      </c>
      <c r="T60" s="1" t="s">
        <v>647</v>
      </c>
      <c r="U60" s="1" t="s">
        <v>72</v>
      </c>
      <c r="V60" s="1" t="s">
        <v>695</v>
      </c>
      <c r="W60" s="29" t="s">
        <v>649</v>
      </c>
      <c r="X60" s="1"/>
      <c r="Y60" s="1" t="s">
        <v>72</v>
      </c>
      <c r="Z60" s="1" t="s">
        <v>696</v>
      </c>
      <c r="AA60" s="29" t="s">
        <v>651</v>
      </c>
      <c r="AB60" s="1" t="s">
        <v>652</v>
      </c>
      <c r="AC60" s="1" t="s">
        <v>72</v>
      </c>
      <c r="AD60" s="1" t="s">
        <v>697</v>
      </c>
      <c r="AE60" s="1" t="s">
        <v>698</v>
      </c>
      <c r="AF60" s="1" t="s">
        <v>699</v>
      </c>
      <c r="AG60" s="1" t="s">
        <v>700</v>
      </c>
      <c r="AH60" s="1" t="s">
        <v>87</v>
      </c>
    </row>
    <row r="61" spans="1:34" ht="45" customHeight="1">
      <c r="A61" s="2" t="s">
        <v>43</v>
      </c>
      <c r="B61" s="2" t="s">
        <v>633</v>
      </c>
      <c r="C61" s="2" t="s">
        <v>701</v>
      </c>
      <c r="D61" s="2" t="s">
        <v>702</v>
      </c>
      <c r="E61" s="2" t="s">
        <v>703</v>
      </c>
      <c r="F61" s="2" t="s">
        <v>704</v>
      </c>
      <c r="G61" s="28" t="s">
        <v>91</v>
      </c>
      <c r="H61" s="2" t="s">
        <v>705</v>
      </c>
      <c r="I61" s="2" t="s">
        <v>72</v>
      </c>
      <c r="J61" s="2" t="s">
        <v>706</v>
      </c>
      <c r="K61" s="2" t="s">
        <v>640</v>
      </c>
      <c r="L61" s="2" t="s">
        <v>707</v>
      </c>
      <c r="M61" s="2" t="s">
        <v>642</v>
      </c>
      <c r="N61" s="2" t="s">
        <v>707</v>
      </c>
      <c r="O61" s="28" t="s">
        <v>643</v>
      </c>
      <c r="P61" s="2"/>
      <c r="Q61" s="2" t="s">
        <v>72</v>
      </c>
      <c r="R61" s="2" t="s">
        <v>708</v>
      </c>
      <c r="S61" s="29" t="s">
        <v>646</v>
      </c>
      <c r="T61" s="2" t="s">
        <v>647</v>
      </c>
      <c r="U61" s="2" t="s">
        <v>72</v>
      </c>
      <c r="V61" s="2" t="s">
        <v>709</v>
      </c>
      <c r="W61" s="29" t="s">
        <v>649</v>
      </c>
      <c r="X61" s="2"/>
      <c r="Y61" s="2" t="s">
        <v>72</v>
      </c>
      <c r="Z61" s="2" t="s">
        <v>710</v>
      </c>
      <c r="AA61" s="28" t="s">
        <v>651</v>
      </c>
      <c r="AB61" s="2" t="s">
        <v>652</v>
      </c>
      <c r="AC61" s="2" t="s">
        <v>72</v>
      </c>
      <c r="AD61" s="2" t="s">
        <v>711</v>
      </c>
      <c r="AE61" s="2" t="s">
        <v>712</v>
      </c>
      <c r="AF61" s="2" t="s">
        <v>713</v>
      </c>
      <c r="AG61" s="2" t="s">
        <v>714</v>
      </c>
      <c r="AH61" s="2" t="s">
        <v>87</v>
      </c>
    </row>
    <row r="62" spans="1:34" ht="45" customHeight="1">
      <c r="A62" s="1" t="s">
        <v>43</v>
      </c>
      <c r="B62" s="1" t="s">
        <v>633</v>
      </c>
      <c r="C62" s="1" t="s">
        <v>701</v>
      </c>
      <c r="D62" s="1" t="s">
        <v>715</v>
      </c>
      <c r="E62" s="1" t="s">
        <v>716</v>
      </c>
      <c r="F62" s="1" t="s">
        <v>717</v>
      </c>
      <c r="G62" s="29" t="s">
        <v>91</v>
      </c>
      <c r="H62" s="1" t="s">
        <v>705</v>
      </c>
      <c r="I62" s="1" t="s">
        <v>72</v>
      </c>
      <c r="J62" s="1" t="s">
        <v>718</v>
      </c>
      <c r="K62" s="1" t="s">
        <v>640</v>
      </c>
      <c r="L62" s="1" t="s">
        <v>707</v>
      </c>
      <c r="M62" s="1" t="s">
        <v>642</v>
      </c>
      <c r="N62" s="1" t="s">
        <v>707</v>
      </c>
      <c r="O62" s="29" t="s">
        <v>643</v>
      </c>
      <c r="P62" s="1" t="s">
        <v>396</v>
      </c>
      <c r="Q62" s="1" t="s">
        <v>72</v>
      </c>
      <c r="R62" s="1" t="s">
        <v>719</v>
      </c>
      <c r="S62" s="29" t="s">
        <v>646</v>
      </c>
      <c r="T62" s="1" t="s">
        <v>647</v>
      </c>
      <c r="U62" s="1" t="s">
        <v>72</v>
      </c>
      <c r="V62" s="1" t="s">
        <v>720</v>
      </c>
      <c r="W62" s="29" t="s">
        <v>649</v>
      </c>
      <c r="X62" s="1"/>
      <c r="Y62" s="1" t="s">
        <v>72</v>
      </c>
      <c r="Z62" s="1" t="s">
        <v>721</v>
      </c>
      <c r="AA62" s="29" t="s">
        <v>651</v>
      </c>
      <c r="AB62" s="1" t="s">
        <v>652</v>
      </c>
      <c r="AC62" s="1" t="s">
        <v>72</v>
      </c>
      <c r="AD62" s="1" t="s">
        <v>722</v>
      </c>
      <c r="AE62" s="1" t="s">
        <v>723</v>
      </c>
      <c r="AF62" s="1" t="s">
        <v>724</v>
      </c>
      <c r="AG62" s="1" t="s">
        <v>725</v>
      </c>
      <c r="AH62" s="1" t="s">
        <v>87</v>
      </c>
    </row>
    <row r="63" spans="1:34" ht="45" customHeight="1">
      <c r="A63" s="2" t="s">
        <v>43</v>
      </c>
      <c r="B63" s="2" t="s">
        <v>633</v>
      </c>
      <c r="C63" s="2" t="s">
        <v>701</v>
      </c>
      <c r="D63" s="2" t="s">
        <v>726</v>
      </c>
      <c r="E63" s="2" t="s">
        <v>727</v>
      </c>
      <c r="F63" s="2" t="s">
        <v>728</v>
      </c>
      <c r="G63" s="28" t="s">
        <v>91</v>
      </c>
      <c r="H63" s="2" t="s">
        <v>705</v>
      </c>
      <c r="I63" s="2" t="s">
        <v>79</v>
      </c>
      <c r="J63" s="2" t="s">
        <v>729</v>
      </c>
      <c r="K63" s="2" t="s">
        <v>640</v>
      </c>
      <c r="L63" s="2" t="s">
        <v>707</v>
      </c>
      <c r="M63" s="2" t="s">
        <v>642</v>
      </c>
      <c r="N63" s="2" t="s">
        <v>707</v>
      </c>
      <c r="O63" s="28" t="s">
        <v>643</v>
      </c>
      <c r="P63" s="2" t="s">
        <v>396</v>
      </c>
      <c r="Q63" s="2" t="s">
        <v>72</v>
      </c>
      <c r="R63" s="2" t="s">
        <v>730</v>
      </c>
      <c r="S63" s="29" t="s">
        <v>646</v>
      </c>
      <c r="T63" s="2" t="s">
        <v>647</v>
      </c>
      <c r="U63" s="2" t="s">
        <v>72</v>
      </c>
      <c r="V63" s="2" t="s">
        <v>731</v>
      </c>
      <c r="W63" s="29" t="s">
        <v>649</v>
      </c>
      <c r="X63" s="2"/>
      <c r="Y63" s="2" t="s">
        <v>72</v>
      </c>
      <c r="Z63" s="2" t="s">
        <v>732</v>
      </c>
      <c r="AA63" s="28" t="s">
        <v>651</v>
      </c>
      <c r="AB63" s="2" t="s">
        <v>652</v>
      </c>
      <c r="AC63" s="2" t="s">
        <v>72</v>
      </c>
      <c r="AD63" s="2" t="s">
        <v>733</v>
      </c>
      <c r="AE63" s="2" t="s">
        <v>734</v>
      </c>
      <c r="AF63" s="2" t="s">
        <v>735</v>
      </c>
      <c r="AG63" s="2" t="s">
        <v>736</v>
      </c>
      <c r="AH63" s="2" t="s">
        <v>87</v>
      </c>
    </row>
    <row r="64" spans="1:34" ht="45" customHeight="1">
      <c r="A64" s="1" t="s">
        <v>43</v>
      </c>
      <c r="B64" s="1" t="s">
        <v>633</v>
      </c>
      <c r="C64" s="1" t="s">
        <v>701</v>
      </c>
      <c r="D64" s="1" t="s">
        <v>737</v>
      </c>
      <c r="E64" s="1" t="s">
        <v>738</v>
      </c>
      <c r="F64" s="1" t="s">
        <v>739</v>
      </c>
      <c r="G64" s="29" t="s">
        <v>91</v>
      </c>
      <c r="H64" s="2" t="s">
        <v>705</v>
      </c>
      <c r="I64" s="1" t="s">
        <v>72</v>
      </c>
      <c r="J64" s="1" t="s">
        <v>740</v>
      </c>
      <c r="K64" s="1" t="s">
        <v>640</v>
      </c>
      <c r="L64" s="1" t="s">
        <v>707</v>
      </c>
      <c r="M64" s="1" t="s">
        <v>642</v>
      </c>
      <c r="N64" s="1" t="s">
        <v>707</v>
      </c>
      <c r="O64" s="29" t="s">
        <v>643</v>
      </c>
      <c r="P64" s="1" t="s">
        <v>396</v>
      </c>
      <c r="Q64" s="1" t="s">
        <v>72</v>
      </c>
      <c r="R64" s="1" t="s">
        <v>741</v>
      </c>
      <c r="S64" s="29" t="s">
        <v>646</v>
      </c>
      <c r="T64" s="1" t="s">
        <v>647</v>
      </c>
      <c r="U64" s="1" t="s">
        <v>72</v>
      </c>
      <c r="V64" s="1" t="s">
        <v>742</v>
      </c>
      <c r="W64" s="29" t="s">
        <v>649</v>
      </c>
      <c r="X64" s="1"/>
      <c r="Y64" s="1" t="s">
        <v>72</v>
      </c>
      <c r="Z64" s="1" t="s">
        <v>743</v>
      </c>
      <c r="AA64" s="29" t="s">
        <v>651</v>
      </c>
      <c r="AB64" s="1" t="s">
        <v>652</v>
      </c>
      <c r="AC64" s="1" t="s">
        <v>72</v>
      </c>
      <c r="AD64" s="1" t="s">
        <v>744</v>
      </c>
      <c r="AE64" s="1" t="s">
        <v>745</v>
      </c>
      <c r="AF64" s="1" t="s">
        <v>746</v>
      </c>
      <c r="AG64" s="1" t="s">
        <v>747</v>
      </c>
      <c r="AH64" s="1" t="s">
        <v>87</v>
      </c>
    </row>
    <row r="65" spans="1:34" ht="45" customHeight="1">
      <c r="A65" s="2" t="s">
        <v>43</v>
      </c>
      <c r="B65" s="2" t="s">
        <v>633</v>
      </c>
      <c r="C65" s="2" t="s">
        <v>701</v>
      </c>
      <c r="D65" s="2" t="s">
        <v>748</v>
      </c>
      <c r="E65" s="2" t="s">
        <v>749</v>
      </c>
      <c r="F65" s="2" t="s">
        <v>750</v>
      </c>
      <c r="G65" s="28" t="s">
        <v>91</v>
      </c>
      <c r="H65" s="2" t="s">
        <v>705</v>
      </c>
      <c r="I65" s="2" t="s">
        <v>79</v>
      </c>
      <c r="J65" s="2" t="s">
        <v>751</v>
      </c>
      <c r="K65" s="2" t="s">
        <v>640</v>
      </c>
      <c r="L65" s="2" t="s">
        <v>707</v>
      </c>
      <c r="M65" s="2" t="s">
        <v>642</v>
      </c>
      <c r="N65" s="2" t="s">
        <v>707</v>
      </c>
      <c r="O65" s="28" t="s">
        <v>643</v>
      </c>
      <c r="P65" s="2" t="s">
        <v>396</v>
      </c>
      <c r="Q65" s="2" t="s">
        <v>72</v>
      </c>
      <c r="R65" s="2" t="s">
        <v>752</v>
      </c>
      <c r="S65" s="29" t="s">
        <v>646</v>
      </c>
      <c r="T65" s="2" t="s">
        <v>647</v>
      </c>
      <c r="U65" s="2" t="s">
        <v>72</v>
      </c>
      <c r="V65" s="2" t="s">
        <v>753</v>
      </c>
      <c r="W65" s="29" t="s">
        <v>649</v>
      </c>
      <c r="X65" s="2"/>
      <c r="Y65" s="2" t="s">
        <v>72</v>
      </c>
      <c r="Z65" s="2" t="s">
        <v>754</v>
      </c>
      <c r="AA65" s="28" t="s">
        <v>651</v>
      </c>
      <c r="AB65" s="2" t="s">
        <v>652</v>
      </c>
      <c r="AC65" s="2" t="s">
        <v>72</v>
      </c>
      <c r="AD65" s="2" t="s">
        <v>755</v>
      </c>
      <c r="AE65" s="2" t="s">
        <v>756</v>
      </c>
      <c r="AF65" s="2" t="s">
        <v>757</v>
      </c>
      <c r="AG65" s="2" t="s">
        <v>758</v>
      </c>
      <c r="AH65" s="2" t="s">
        <v>87</v>
      </c>
    </row>
    <row r="66" spans="1:34" ht="45" customHeight="1">
      <c r="A66" s="1" t="s">
        <v>43</v>
      </c>
      <c r="B66" s="1" t="s">
        <v>633</v>
      </c>
      <c r="C66" s="1" t="s">
        <v>701</v>
      </c>
      <c r="D66" s="1" t="s">
        <v>759</v>
      </c>
      <c r="E66" s="1" t="s">
        <v>760</v>
      </c>
      <c r="F66" s="1" t="s">
        <v>761</v>
      </c>
      <c r="G66" s="29" t="s">
        <v>91</v>
      </c>
      <c r="H66" s="2" t="s">
        <v>705</v>
      </c>
      <c r="I66" s="1" t="s">
        <v>72</v>
      </c>
      <c r="J66" s="1" t="s">
        <v>762</v>
      </c>
      <c r="K66" s="1" t="s">
        <v>640</v>
      </c>
      <c r="L66" s="1" t="s">
        <v>707</v>
      </c>
      <c r="M66" s="1" t="s">
        <v>642</v>
      </c>
      <c r="N66" s="1" t="s">
        <v>707</v>
      </c>
      <c r="O66" s="29" t="s">
        <v>643</v>
      </c>
      <c r="P66" s="1" t="s">
        <v>396</v>
      </c>
      <c r="Q66" s="1" t="s">
        <v>72</v>
      </c>
      <c r="R66" s="1" t="s">
        <v>763</v>
      </c>
      <c r="S66" s="29" t="s">
        <v>646</v>
      </c>
      <c r="T66" s="1" t="s">
        <v>647</v>
      </c>
      <c r="U66" s="1" t="s">
        <v>72</v>
      </c>
      <c r="V66" s="1" t="s">
        <v>764</v>
      </c>
      <c r="W66" s="29" t="s">
        <v>649</v>
      </c>
      <c r="X66" s="1"/>
      <c r="Y66" s="1" t="s">
        <v>72</v>
      </c>
      <c r="Z66" s="1" t="s">
        <v>765</v>
      </c>
      <c r="AA66" s="29" t="s">
        <v>651</v>
      </c>
      <c r="AB66" s="1" t="s">
        <v>652</v>
      </c>
      <c r="AC66" s="1" t="s">
        <v>72</v>
      </c>
      <c r="AD66" s="1" t="s">
        <v>766</v>
      </c>
      <c r="AE66" s="1" t="s">
        <v>767</v>
      </c>
      <c r="AF66" s="1" t="s">
        <v>768</v>
      </c>
      <c r="AG66" s="1" t="s">
        <v>769</v>
      </c>
      <c r="AH66" s="1" t="s">
        <v>87</v>
      </c>
    </row>
    <row r="67" spans="1:34" ht="45" customHeight="1">
      <c r="A67" s="2" t="s">
        <v>43</v>
      </c>
      <c r="B67" s="2" t="s">
        <v>633</v>
      </c>
      <c r="C67" s="2" t="s">
        <v>701</v>
      </c>
      <c r="D67" s="2" t="s">
        <v>89</v>
      </c>
      <c r="E67" s="2" t="s">
        <v>770</v>
      </c>
      <c r="F67" s="2" t="s">
        <v>771</v>
      </c>
      <c r="G67" s="28" t="s">
        <v>91</v>
      </c>
      <c r="H67" s="2" t="s">
        <v>705</v>
      </c>
      <c r="I67" s="2" t="s">
        <v>79</v>
      </c>
      <c r="J67" s="2" t="s">
        <v>772</v>
      </c>
      <c r="K67" s="2" t="s">
        <v>640</v>
      </c>
      <c r="L67" s="2" t="s">
        <v>707</v>
      </c>
      <c r="M67" s="2" t="s">
        <v>642</v>
      </c>
      <c r="N67" s="2" t="s">
        <v>707</v>
      </c>
      <c r="O67" s="28" t="s">
        <v>643</v>
      </c>
      <c r="P67" s="2" t="s">
        <v>396</v>
      </c>
      <c r="Q67" s="2" t="s">
        <v>72</v>
      </c>
      <c r="R67" s="2" t="s">
        <v>773</v>
      </c>
      <c r="S67" s="29" t="s">
        <v>646</v>
      </c>
      <c r="T67" s="2" t="s">
        <v>647</v>
      </c>
      <c r="U67" s="2" t="s">
        <v>72</v>
      </c>
      <c r="V67" s="2" t="s">
        <v>774</v>
      </c>
      <c r="W67" s="29" t="s">
        <v>649</v>
      </c>
      <c r="X67" s="2"/>
      <c r="Y67" s="2" t="s">
        <v>72</v>
      </c>
      <c r="Z67" s="2" t="s">
        <v>775</v>
      </c>
      <c r="AA67" s="28" t="s">
        <v>651</v>
      </c>
      <c r="AB67" s="2" t="s">
        <v>652</v>
      </c>
      <c r="AC67" s="2" t="s">
        <v>72</v>
      </c>
      <c r="AD67" s="2" t="s">
        <v>776</v>
      </c>
      <c r="AE67" s="2" t="s">
        <v>777</v>
      </c>
      <c r="AF67" s="2" t="s">
        <v>778</v>
      </c>
      <c r="AG67" s="2" t="s">
        <v>779</v>
      </c>
      <c r="AH67" s="2" t="s">
        <v>87</v>
      </c>
    </row>
    <row r="68" spans="1:34" ht="45" customHeight="1">
      <c r="A68" s="1" t="s">
        <v>43</v>
      </c>
      <c r="B68" s="1" t="s">
        <v>633</v>
      </c>
      <c r="C68" s="1" t="s">
        <v>780</v>
      </c>
      <c r="D68" s="1" t="s">
        <v>781</v>
      </c>
      <c r="E68" t="s">
        <v>782</v>
      </c>
      <c r="F68" s="1" t="s">
        <v>783</v>
      </c>
      <c r="G68" s="29" t="s">
        <v>91</v>
      </c>
      <c r="H68" s="1" t="s">
        <v>784</v>
      </c>
      <c r="I68" s="1" t="s">
        <v>72</v>
      </c>
      <c r="J68" s="1" t="s">
        <v>785</v>
      </c>
      <c r="K68" s="1" t="s">
        <v>780</v>
      </c>
      <c r="L68" s="1" t="s">
        <v>786</v>
      </c>
      <c r="M68" s="1" t="s">
        <v>787</v>
      </c>
      <c r="N68" s="1" t="s">
        <v>786</v>
      </c>
      <c r="O68" s="29" t="s">
        <v>788</v>
      </c>
      <c r="P68" s="1" t="s">
        <v>396</v>
      </c>
      <c r="Q68" s="1" t="s">
        <v>72</v>
      </c>
      <c r="R68" s="1" t="s">
        <v>789</v>
      </c>
      <c r="S68" s="29" t="s">
        <v>790</v>
      </c>
      <c r="T68" s="14" t="s">
        <v>791</v>
      </c>
      <c r="U68" s="1" t="s">
        <v>72</v>
      </c>
      <c r="V68" s="1" t="s">
        <v>792</v>
      </c>
      <c r="W68" s="29" t="s">
        <v>652</v>
      </c>
      <c r="X68" s="1" t="s">
        <v>396</v>
      </c>
      <c r="Y68" s="1" t="s">
        <v>72</v>
      </c>
      <c r="Z68" s="1" t="s">
        <v>793</v>
      </c>
      <c r="AA68" s="29" t="s">
        <v>651</v>
      </c>
      <c r="AB68" s="1" t="s">
        <v>794</v>
      </c>
      <c r="AC68" s="1" t="s">
        <v>72</v>
      </c>
      <c r="AD68" s="1" t="s">
        <v>795</v>
      </c>
      <c r="AE68" s="1" t="s">
        <v>796</v>
      </c>
      <c r="AF68" s="1" t="s">
        <v>797</v>
      </c>
      <c r="AG68" s="1" t="s">
        <v>798</v>
      </c>
      <c r="AH68" s="1" t="s">
        <v>87</v>
      </c>
    </row>
    <row r="69" spans="1:34" ht="45" customHeight="1">
      <c r="A69" s="2" t="s">
        <v>43</v>
      </c>
      <c r="B69" s="2" t="s">
        <v>633</v>
      </c>
      <c r="C69" s="2" t="s">
        <v>780</v>
      </c>
      <c r="D69" s="2" t="s">
        <v>799</v>
      </c>
      <c r="E69" s="2" t="s">
        <v>800</v>
      </c>
      <c r="F69" s="2" t="s">
        <v>801</v>
      </c>
      <c r="G69" s="28" t="s">
        <v>91</v>
      </c>
      <c r="H69" s="2" t="s">
        <v>784</v>
      </c>
      <c r="I69" s="2" t="s">
        <v>72</v>
      </c>
      <c r="J69" s="2" t="s">
        <v>802</v>
      </c>
      <c r="K69" s="1" t="s">
        <v>780</v>
      </c>
      <c r="L69" s="1" t="s">
        <v>786</v>
      </c>
      <c r="M69" s="2" t="s">
        <v>787</v>
      </c>
      <c r="N69" s="2" t="s">
        <v>786</v>
      </c>
      <c r="O69" s="28" t="s">
        <v>788</v>
      </c>
      <c r="P69" s="2" t="s">
        <v>396</v>
      </c>
      <c r="Q69" s="2" t="s">
        <v>72</v>
      </c>
      <c r="R69" s="2" t="s">
        <v>803</v>
      </c>
      <c r="S69" s="28" t="s">
        <v>804</v>
      </c>
      <c r="T69" s="2" t="s">
        <v>791</v>
      </c>
      <c r="U69" s="2" t="s">
        <v>72</v>
      </c>
      <c r="V69" s="2" t="s">
        <v>805</v>
      </c>
      <c r="W69" s="29" t="s">
        <v>652</v>
      </c>
      <c r="X69" s="2" t="s">
        <v>396</v>
      </c>
      <c r="Y69" s="2" t="s">
        <v>72</v>
      </c>
      <c r="Z69" s="2" t="s">
        <v>806</v>
      </c>
      <c r="AA69" s="28" t="s">
        <v>807</v>
      </c>
      <c r="AB69" s="2" t="s">
        <v>794</v>
      </c>
      <c r="AC69" s="2" t="s">
        <v>72</v>
      </c>
      <c r="AD69" s="2" t="s">
        <v>808</v>
      </c>
      <c r="AE69" s="2" t="s">
        <v>809</v>
      </c>
      <c r="AF69" s="2" t="s">
        <v>810</v>
      </c>
      <c r="AG69" s="2" t="s">
        <v>811</v>
      </c>
      <c r="AH69" s="2" t="s">
        <v>87</v>
      </c>
    </row>
    <row r="70" spans="1:34" ht="45" customHeight="1">
      <c r="A70" s="1" t="s">
        <v>43</v>
      </c>
      <c r="B70" s="1" t="s">
        <v>633</v>
      </c>
      <c r="C70" s="1" t="s">
        <v>780</v>
      </c>
      <c r="D70" s="1" t="s">
        <v>812</v>
      </c>
      <c r="E70" s="1" t="s">
        <v>813</v>
      </c>
      <c r="F70" s="1" t="s">
        <v>814</v>
      </c>
      <c r="G70" s="29" t="s">
        <v>91</v>
      </c>
      <c r="H70" s="1" t="s">
        <v>784</v>
      </c>
      <c r="I70" s="1" t="s">
        <v>72</v>
      </c>
      <c r="J70" s="1" t="s">
        <v>815</v>
      </c>
      <c r="K70" s="1" t="s">
        <v>780</v>
      </c>
      <c r="L70" s="1" t="s">
        <v>786</v>
      </c>
      <c r="M70" s="1" t="s">
        <v>787</v>
      </c>
      <c r="N70" s="1" t="s">
        <v>786</v>
      </c>
      <c r="O70" s="29" t="s">
        <v>788</v>
      </c>
      <c r="P70" s="1" t="s">
        <v>396</v>
      </c>
      <c r="Q70" s="1" t="s">
        <v>72</v>
      </c>
      <c r="R70" s="1" t="s">
        <v>816</v>
      </c>
      <c r="S70" s="28" t="s">
        <v>804</v>
      </c>
      <c r="T70" s="1" t="s">
        <v>791</v>
      </c>
      <c r="U70" s="1" t="s">
        <v>72</v>
      </c>
      <c r="V70" s="1" t="s">
        <v>817</v>
      </c>
      <c r="W70" s="29" t="s">
        <v>652</v>
      </c>
      <c r="X70" s="1" t="s">
        <v>396</v>
      </c>
      <c r="Y70" s="1" t="s">
        <v>72</v>
      </c>
      <c r="Z70" s="1" t="s">
        <v>818</v>
      </c>
      <c r="AA70" s="29" t="s">
        <v>819</v>
      </c>
      <c r="AB70" s="1" t="s">
        <v>794</v>
      </c>
      <c r="AC70" s="1" t="s">
        <v>72</v>
      </c>
      <c r="AD70" s="1" t="s">
        <v>820</v>
      </c>
      <c r="AE70" s="1" t="s">
        <v>821</v>
      </c>
      <c r="AF70" s="1" t="s">
        <v>822</v>
      </c>
      <c r="AG70" s="1" t="s">
        <v>823</v>
      </c>
      <c r="AH70" s="1" t="s">
        <v>87</v>
      </c>
    </row>
    <row r="71" spans="1:34" ht="45" customHeight="1">
      <c r="A71" s="2" t="s">
        <v>43</v>
      </c>
      <c r="B71" s="2" t="s">
        <v>633</v>
      </c>
      <c r="C71" s="2" t="s">
        <v>780</v>
      </c>
      <c r="D71" s="2" t="s">
        <v>824</v>
      </c>
      <c r="E71" s="2" t="s">
        <v>825</v>
      </c>
      <c r="F71" s="2" t="s">
        <v>826</v>
      </c>
      <c r="G71" s="28" t="s">
        <v>91</v>
      </c>
      <c r="H71" s="13" t="s">
        <v>827</v>
      </c>
      <c r="I71" s="2" t="s">
        <v>72</v>
      </c>
      <c r="J71" s="2" t="s">
        <v>828</v>
      </c>
      <c r="K71" s="1" t="s">
        <v>780</v>
      </c>
      <c r="L71" s="1" t="s">
        <v>786</v>
      </c>
      <c r="M71" s="2" t="s">
        <v>787</v>
      </c>
      <c r="N71" s="2" t="s">
        <v>786</v>
      </c>
      <c r="O71" s="28" t="s">
        <v>788</v>
      </c>
      <c r="P71" s="2" t="s">
        <v>396</v>
      </c>
      <c r="Q71" s="2" t="s">
        <v>72</v>
      </c>
      <c r="R71" s="2" t="s">
        <v>829</v>
      </c>
      <c r="S71" s="28" t="s">
        <v>804</v>
      </c>
      <c r="T71" s="2" t="s">
        <v>791</v>
      </c>
      <c r="U71" s="2" t="s">
        <v>72</v>
      </c>
      <c r="V71" s="2" t="s">
        <v>830</v>
      </c>
      <c r="W71" s="29" t="s">
        <v>652</v>
      </c>
      <c r="X71" s="2" t="s">
        <v>396</v>
      </c>
      <c r="Y71" s="2" t="s">
        <v>72</v>
      </c>
      <c r="Z71" s="2" t="s">
        <v>831</v>
      </c>
      <c r="AA71" s="28" t="s">
        <v>651</v>
      </c>
      <c r="AB71" s="2" t="s">
        <v>794</v>
      </c>
      <c r="AC71" s="2" t="s">
        <v>72</v>
      </c>
      <c r="AD71" s="2" t="s">
        <v>832</v>
      </c>
      <c r="AE71" s="2" t="s">
        <v>833</v>
      </c>
      <c r="AF71" s="2" t="s">
        <v>834</v>
      </c>
      <c r="AG71" s="2" t="s">
        <v>835</v>
      </c>
      <c r="AH71" s="2" t="s">
        <v>87</v>
      </c>
    </row>
    <row r="72" spans="1:34" ht="45" customHeight="1">
      <c r="A72" s="1" t="s">
        <v>43</v>
      </c>
      <c r="B72" s="1" t="s">
        <v>633</v>
      </c>
      <c r="C72" s="1" t="s">
        <v>780</v>
      </c>
      <c r="D72" s="1" t="s">
        <v>836</v>
      </c>
      <c r="E72" s="1" t="s">
        <v>837</v>
      </c>
      <c r="F72" s="1" t="s">
        <v>838</v>
      </c>
      <c r="G72" s="29" t="s">
        <v>91</v>
      </c>
      <c r="H72" s="13" t="s">
        <v>827</v>
      </c>
      <c r="I72" s="1" t="s">
        <v>72</v>
      </c>
      <c r="J72" s="1" t="s">
        <v>839</v>
      </c>
      <c r="K72" s="1" t="s">
        <v>780</v>
      </c>
      <c r="L72" s="1" t="s">
        <v>786</v>
      </c>
      <c r="M72" s="1" t="s">
        <v>787</v>
      </c>
      <c r="N72" s="1" t="s">
        <v>786</v>
      </c>
      <c r="O72" s="29" t="s">
        <v>788</v>
      </c>
      <c r="P72" s="1" t="s">
        <v>396</v>
      </c>
      <c r="Q72" s="1" t="s">
        <v>72</v>
      </c>
      <c r="R72" s="1" t="s">
        <v>840</v>
      </c>
      <c r="S72" s="28" t="s">
        <v>804</v>
      </c>
      <c r="T72" s="1" t="s">
        <v>791</v>
      </c>
      <c r="U72" s="1" t="s">
        <v>72</v>
      </c>
      <c r="V72" s="1" t="s">
        <v>841</v>
      </c>
      <c r="W72" s="1" t="s">
        <v>396</v>
      </c>
      <c r="X72" s="1" t="s">
        <v>396</v>
      </c>
      <c r="Y72" s="1" t="s">
        <v>72</v>
      </c>
      <c r="Z72" s="1" t="s">
        <v>842</v>
      </c>
      <c r="AA72" s="29" t="s">
        <v>819</v>
      </c>
      <c r="AB72" s="1" t="s">
        <v>794</v>
      </c>
      <c r="AC72" s="1" t="s">
        <v>72</v>
      </c>
      <c r="AD72" s="1" t="s">
        <v>843</v>
      </c>
      <c r="AE72" s="1" t="s">
        <v>844</v>
      </c>
      <c r="AF72" s="1" t="s">
        <v>845</v>
      </c>
      <c r="AG72" s="1" t="s">
        <v>846</v>
      </c>
      <c r="AH72" s="1" t="s">
        <v>87</v>
      </c>
    </row>
    <row r="73" spans="1:34" ht="45" customHeight="1">
      <c r="A73" s="2" t="s">
        <v>43</v>
      </c>
      <c r="B73" s="2" t="s">
        <v>633</v>
      </c>
      <c r="C73" s="2" t="s">
        <v>780</v>
      </c>
      <c r="D73" s="2" t="s">
        <v>847</v>
      </c>
      <c r="E73" s="2" t="s">
        <v>848</v>
      </c>
      <c r="F73" s="2" t="s">
        <v>849</v>
      </c>
      <c r="G73" s="28" t="s">
        <v>91</v>
      </c>
      <c r="H73" s="13" t="s">
        <v>827</v>
      </c>
      <c r="I73" s="2" t="s">
        <v>72</v>
      </c>
      <c r="J73" s="2" t="s">
        <v>850</v>
      </c>
      <c r="K73" s="1" t="s">
        <v>780</v>
      </c>
      <c r="L73" s="1" t="s">
        <v>786</v>
      </c>
      <c r="M73" s="2" t="s">
        <v>787</v>
      </c>
      <c r="N73" s="2" t="s">
        <v>786</v>
      </c>
      <c r="O73" s="28" t="s">
        <v>788</v>
      </c>
      <c r="P73" s="2" t="s">
        <v>396</v>
      </c>
      <c r="Q73" s="2" t="s">
        <v>72</v>
      </c>
      <c r="R73" s="2" t="s">
        <v>851</v>
      </c>
      <c r="S73" s="28" t="s">
        <v>804</v>
      </c>
      <c r="T73" s="2" t="s">
        <v>791</v>
      </c>
      <c r="U73" s="2" t="s">
        <v>72</v>
      </c>
      <c r="V73" s="2" t="s">
        <v>852</v>
      </c>
      <c r="W73" s="2" t="s">
        <v>396</v>
      </c>
      <c r="X73" s="2" t="s">
        <v>396</v>
      </c>
      <c r="Y73" s="2" t="s">
        <v>72</v>
      </c>
      <c r="Z73" s="2" t="s">
        <v>853</v>
      </c>
      <c r="AA73" s="28" t="s">
        <v>651</v>
      </c>
      <c r="AB73" s="2" t="s">
        <v>794</v>
      </c>
      <c r="AC73" s="2" t="s">
        <v>72</v>
      </c>
      <c r="AD73" s="2" t="s">
        <v>854</v>
      </c>
      <c r="AE73" s="2" t="s">
        <v>855</v>
      </c>
      <c r="AF73" s="2" t="s">
        <v>856</v>
      </c>
      <c r="AG73" s="2" t="s">
        <v>857</v>
      </c>
      <c r="AH73" s="2" t="s">
        <v>87</v>
      </c>
    </row>
    <row r="74" spans="1:34" ht="45" customHeight="1">
      <c r="A74" s="1" t="s">
        <v>43</v>
      </c>
      <c r="B74" s="1" t="s">
        <v>633</v>
      </c>
      <c r="C74" s="1" t="s">
        <v>780</v>
      </c>
      <c r="D74" s="1" t="s">
        <v>858</v>
      </c>
      <c r="E74" s="1" t="s">
        <v>859</v>
      </c>
      <c r="F74" s="1" t="s">
        <v>860</v>
      </c>
      <c r="G74" s="29" t="s">
        <v>91</v>
      </c>
      <c r="H74" s="13" t="s">
        <v>827</v>
      </c>
      <c r="I74" s="1" t="s">
        <v>79</v>
      </c>
      <c r="J74" s="1" t="s">
        <v>861</v>
      </c>
      <c r="K74" s="1" t="s">
        <v>780</v>
      </c>
      <c r="L74" s="1" t="s">
        <v>786</v>
      </c>
      <c r="M74" s="1" t="s">
        <v>787</v>
      </c>
      <c r="N74" s="1" t="s">
        <v>786</v>
      </c>
      <c r="O74" s="29" t="s">
        <v>788</v>
      </c>
      <c r="P74" s="1" t="s">
        <v>396</v>
      </c>
      <c r="Q74" s="1" t="s">
        <v>72</v>
      </c>
      <c r="R74" s="1" t="s">
        <v>862</v>
      </c>
      <c r="S74" s="28" t="s">
        <v>804</v>
      </c>
      <c r="T74" s="1" t="s">
        <v>791</v>
      </c>
      <c r="U74" s="1" t="s">
        <v>72</v>
      </c>
      <c r="V74" s="1" t="s">
        <v>863</v>
      </c>
      <c r="W74" s="1" t="s">
        <v>396</v>
      </c>
      <c r="X74" s="1" t="s">
        <v>396</v>
      </c>
      <c r="Y74" s="1" t="s">
        <v>72</v>
      </c>
      <c r="Z74" s="1" t="s">
        <v>864</v>
      </c>
      <c r="AA74" s="29" t="s">
        <v>865</v>
      </c>
      <c r="AB74" s="1" t="s">
        <v>794</v>
      </c>
      <c r="AC74" s="1" t="s">
        <v>72</v>
      </c>
      <c r="AD74" s="1" t="s">
        <v>866</v>
      </c>
      <c r="AE74" s="1" t="s">
        <v>867</v>
      </c>
      <c r="AF74" s="1" t="s">
        <v>868</v>
      </c>
      <c r="AG74" s="1" t="s">
        <v>869</v>
      </c>
      <c r="AH74" s="1" t="s">
        <v>87</v>
      </c>
    </row>
    <row r="75" spans="1:34" ht="45" customHeight="1">
      <c r="A75" s="2" t="s">
        <v>43</v>
      </c>
      <c r="B75" s="2" t="s">
        <v>633</v>
      </c>
      <c r="C75" s="2" t="s">
        <v>780</v>
      </c>
      <c r="D75" s="2" t="s">
        <v>870</v>
      </c>
      <c r="E75" s="2" t="s">
        <v>871</v>
      </c>
      <c r="F75" s="2" t="s">
        <v>872</v>
      </c>
      <c r="G75" s="28" t="s">
        <v>91</v>
      </c>
      <c r="H75" s="13" t="s">
        <v>827</v>
      </c>
      <c r="I75" s="2" t="s">
        <v>72</v>
      </c>
      <c r="J75" s="2" t="s">
        <v>873</v>
      </c>
      <c r="K75" s="1" t="s">
        <v>780</v>
      </c>
      <c r="L75" s="1" t="s">
        <v>786</v>
      </c>
      <c r="M75" s="2" t="s">
        <v>787</v>
      </c>
      <c r="N75" s="2" t="s">
        <v>786</v>
      </c>
      <c r="O75" s="28" t="s">
        <v>788</v>
      </c>
      <c r="P75" s="2" t="s">
        <v>396</v>
      </c>
      <c r="Q75" s="2" t="s">
        <v>72</v>
      </c>
      <c r="R75" s="2" t="s">
        <v>874</v>
      </c>
      <c r="S75" s="28" t="s">
        <v>804</v>
      </c>
      <c r="T75" s="2" t="s">
        <v>791</v>
      </c>
      <c r="U75" s="2" t="s">
        <v>72</v>
      </c>
      <c r="V75" s="2" t="s">
        <v>875</v>
      </c>
      <c r="W75" s="28" t="s">
        <v>876</v>
      </c>
      <c r="X75" s="2" t="s">
        <v>396</v>
      </c>
      <c r="Y75" s="2" t="s">
        <v>72</v>
      </c>
      <c r="Z75" s="2" t="s">
        <v>877</v>
      </c>
      <c r="AA75" s="28" t="s">
        <v>450</v>
      </c>
      <c r="AB75" s="2" t="s">
        <v>794</v>
      </c>
      <c r="AC75" s="2" t="s">
        <v>72</v>
      </c>
      <c r="AD75" s="2" t="s">
        <v>878</v>
      </c>
      <c r="AE75" s="2" t="s">
        <v>879</v>
      </c>
      <c r="AF75" s="2" t="s">
        <v>880</v>
      </c>
      <c r="AG75" s="2" t="s">
        <v>881</v>
      </c>
      <c r="AH75" s="2" t="s">
        <v>87</v>
      </c>
    </row>
    <row r="76" spans="1:34" ht="69" customHeight="1">
      <c r="A76" s="1" t="s">
        <v>43</v>
      </c>
      <c r="B76" s="1" t="s">
        <v>633</v>
      </c>
      <c r="C76" s="1" t="s">
        <v>780</v>
      </c>
      <c r="D76" s="1" t="s">
        <v>882</v>
      </c>
      <c r="E76" s="1" t="s">
        <v>883</v>
      </c>
      <c r="F76" s="1" t="s">
        <v>884</v>
      </c>
      <c r="G76" s="29" t="s">
        <v>91</v>
      </c>
      <c r="H76" s="13" t="s">
        <v>827</v>
      </c>
      <c r="I76" s="1" t="s">
        <v>72</v>
      </c>
      <c r="J76" s="1" t="s">
        <v>885</v>
      </c>
      <c r="K76" s="1" t="s">
        <v>780</v>
      </c>
      <c r="L76" s="1" t="s">
        <v>786</v>
      </c>
      <c r="M76" s="1" t="s">
        <v>787</v>
      </c>
      <c r="N76" s="1" t="s">
        <v>786</v>
      </c>
      <c r="O76" s="29" t="s">
        <v>788</v>
      </c>
      <c r="P76" s="1" t="s">
        <v>396</v>
      </c>
      <c r="Q76" s="1" t="s">
        <v>72</v>
      </c>
      <c r="R76" s="1" t="s">
        <v>886</v>
      </c>
      <c r="S76" s="28" t="s">
        <v>804</v>
      </c>
      <c r="T76" s="1" t="s">
        <v>791</v>
      </c>
      <c r="U76" s="1" t="s">
        <v>72</v>
      </c>
      <c r="V76" s="1" t="s">
        <v>887</v>
      </c>
      <c r="W76" s="28" t="s">
        <v>876</v>
      </c>
      <c r="X76" s="1" t="s">
        <v>396</v>
      </c>
      <c r="Y76" s="1" t="s">
        <v>72</v>
      </c>
      <c r="Z76" s="1" t="s">
        <v>888</v>
      </c>
      <c r="AA76" s="29" t="s">
        <v>889</v>
      </c>
      <c r="AB76" s="1" t="s">
        <v>794</v>
      </c>
      <c r="AC76" s="1" t="s">
        <v>72</v>
      </c>
      <c r="AD76" s="1" t="s">
        <v>890</v>
      </c>
      <c r="AE76" s="1" t="s">
        <v>891</v>
      </c>
      <c r="AF76" s="1" t="s">
        <v>892</v>
      </c>
      <c r="AG76" s="1" t="s">
        <v>893</v>
      </c>
      <c r="AH76" s="1" t="s">
        <v>87</v>
      </c>
    </row>
    <row r="77" spans="1:34" ht="45" customHeight="1">
      <c r="A77" s="2" t="s">
        <v>43</v>
      </c>
      <c r="B77" s="2" t="s">
        <v>633</v>
      </c>
      <c r="C77" s="2" t="s">
        <v>780</v>
      </c>
      <c r="D77" s="2" t="s">
        <v>894</v>
      </c>
      <c r="E77" s="2" t="s">
        <v>895</v>
      </c>
      <c r="F77" s="2" t="s">
        <v>896</v>
      </c>
      <c r="G77" s="28" t="s">
        <v>91</v>
      </c>
      <c r="H77" s="2" t="s">
        <v>784</v>
      </c>
      <c r="I77" s="2" t="s">
        <v>72</v>
      </c>
      <c r="J77" s="2" t="s">
        <v>897</v>
      </c>
      <c r="K77" s="1" t="s">
        <v>780</v>
      </c>
      <c r="L77" s="1" t="s">
        <v>786</v>
      </c>
      <c r="M77" s="2" t="s">
        <v>787</v>
      </c>
      <c r="N77" s="2" t="s">
        <v>786</v>
      </c>
      <c r="O77" s="28" t="s">
        <v>788</v>
      </c>
      <c r="P77" s="2" t="s">
        <v>396</v>
      </c>
      <c r="Q77" s="2" t="s">
        <v>72</v>
      </c>
      <c r="R77" s="2" t="s">
        <v>898</v>
      </c>
      <c r="S77" s="28" t="s">
        <v>804</v>
      </c>
      <c r="T77" s="2" t="s">
        <v>791</v>
      </c>
      <c r="U77" s="2" t="s">
        <v>72</v>
      </c>
      <c r="V77" s="2" t="s">
        <v>899</v>
      </c>
      <c r="W77" s="28" t="s">
        <v>876</v>
      </c>
      <c r="X77" s="2" t="s">
        <v>900</v>
      </c>
      <c r="Y77" s="2" t="s">
        <v>72</v>
      </c>
      <c r="Z77" s="2" t="s">
        <v>901</v>
      </c>
      <c r="AA77" s="28" t="s">
        <v>902</v>
      </c>
      <c r="AB77" s="2" t="s">
        <v>794</v>
      </c>
      <c r="AC77" s="2" t="s">
        <v>72</v>
      </c>
      <c r="AD77" s="2" t="s">
        <v>903</v>
      </c>
      <c r="AE77" s="2" t="s">
        <v>904</v>
      </c>
      <c r="AF77" s="2" t="s">
        <v>905</v>
      </c>
      <c r="AG77" s="2" t="s">
        <v>906</v>
      </c>
      <c r="AH77" s="2" t="s">
        <v>87</v>
      </c>
    </row>
    <row r="78" spans="1:34" ht="20.100000000000001" customHeight="1">
      <c r="A78" s="3" t="s">
        <v>907</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row>
    <row r="79" spans="1:34" ht="45" customHeight="1">
      <c r="A79" s="2" t="s">
        <v>43</v>
      </c>
      <c r="B79" s="2" t="s">
        <v>908</v>
      </c>
      <c r="C79" s="2" t="s">
        <v>909</v>
      </c>
      <c r="D79" s="2" t="s">
        <v>910</v>
      </c>
      <c r="E79" s="2" t="s">
        <v>911</v>
      </c>
      <c r="F79" s="2" t="s">
        <v>912</v>
      </c>
      <c r="G79" s="28" t="s">
        <v>913</v>
      </c>
      <c r="H79" s="2" t="s">
        <v>914</v>
      </c>
      <c r="I79" s="2" t="s">
        <v>72</v>
      </c>
      <c r="J79" s="2" t="s">
        <v>915</v>
      </c>
      <c r="K79" s="2" t="s">
        <v>916</v>
      </c>
      <c r="L79" s="2" t="s">
        <v>917</v>
      </c>
      <c r="M79" s="2" t="s">
        <v>916</v>
      </c>
      <c r="N79" s="2" t="s">
        <v>917</v>
      </c>
      <c r="O79" s="28" t="s">
        <v>918</v>
      </c>
      <c r="P79" s="2" t="s">
        <v>396</v>
      </c>
      <c r="Q79" s="2" t="s">
        <v>72</v>
      </c>
      <c r="R79" s="2" t="s">
        <v>919</v>
      </c>
      <c r="S79" s="28" t="s">
        <v>920</v>
      </c>
      <c r="T79" s="2" t="s">
        <v>921</v>
      </c>
      <c r="U79" s="2" t="s">
        <v>72</v>
      </c>
      <c r="V79" s="2" t="s">
        <v>922</v>
      </c>
      <c r="W79" s="28" t="s">
        <v>923</v>
      </c>
      <c r="X79" s="2" t="s">
        <v>396</v>
      </c>
      <c r="Y79" s="2" t="s">
        <v>72</v>
      </c>
      <c r="Z79" s="2" t="s">
        <v>924</v>
      </c>
      <c r="AA79" s="28" t="s">
        <v>925</v>
      </c>
      <c r="AB79" s="2" t="s">
        <v>926</v>
      </c>
      <c r="AC79" s="2" t="s">
        <v>72</v>
      </c>
      <c r="AD79" s="2" t="s">
        <v>927</v>
      </c>
      <c r="AE79" s="2" t="s">
        <v>928</v>
      </c>
      <c r="AF79" s="2" t="s">
        <v>929</v>
      </c>
      <c r="AG79" s="2" t="s">
        <v>930</v>
      </c>
      <c r="AH79" s="2" t="s">
        <v>931</v>
      </c>
    </row>
    <row r="80" spans="1:34" ht="45" customHeight="1">
      <c r="A80" s="1" t="s">
        <v>43</v>
      </c>
      <c r="B80" s="1" t="s">
        <v>908</v>
      </c>
      <c r="C80" s="1" t="s">
        <v>909</v>
      </c>
      <c r="D80" s="1" t="s">
        <v>932</v>
      </c>
      <c r="E80" s="1" t="s">
        <v>933</v>
      </c>
      <c r="F80" s="1" t="s">
        <v>934</v>
      </c>
      <c r="G80" s="29" t="s">
        <v>913</v>
      </c>
      <c r="H80" s="1" t="s">
        <v>914</v>
      </c>
      <c r="I80" s="1" t="s">
        <v>72</v>
      </c>
      <c r="J80" s="1" t="s">
        <v>935</v>
      </c>
      <c r="K80" s="1" t="s">
        <v>916</v>
      </c>
      <c r="L80" s="1" t="s">
        <v>917</v>
      </c>
      <c r="M80" s="1" t="s">
        <v>916</v>
      </c>
      <c r="N80" s="1" t="s">
        <v>917</v>
      </c>
      <c r="O80" s="29" t="s">
        <v>918</v>
      </c>
      <c r="P80" s="1" t="s">
        <v>396</v>
      </c>
      <c r="Q80" s="1" t="s">
        <v>72</v>
      </c>
      <c r="R80" s="1" t="s">
        <v>936</v>
      </c>
      <c r="S80" s="28" t="s">
        <v>920</v>
      </c>
      <c r="T80" s="1" t="s">
        <v>921</v>
      </c>
      <c r="U80" s="1" t="s">
        <v>72</v>
      </c>
      <c r="V80" s="1" t="s">
        <v>937</v>
      </c>
      <c r="W80" s="28" t="s">
        <v>923</v>
      </c>
      <c r="X80" s="1" t="s">
        <v>396</v>
      </c>
      <c r="Y80" s="1" t="s">
        <v>72</v>
      </c>
      <c r="Z80" s="1" t="s">
        <v>938</v>
      </c>
      <c r="AA80" s="29" t="s">
        <v>925</v>
      </c>
      <c r="AB80" s="1" t="s">
        <v>926</v>
      </c>
      <c r="AC80" s="1" t="s">
        <v>72</v>
      </c>
      <c r="AD80" s="1" t="s">
        <v>939</v>
      </c>
      <c r="AE80" s="1" t="s">
        <v>940</v>
      </c>
      <c r="AF80" s="1" t="s">
        <v>941</v>
      </c>
      <c r="AG80" s="1" t="s">
        <v>942</v>
      </c>
      <c r="AH80" s="1" t="s">
        <v>931</v>
      </c>
    </row>
    <row r="81" spans="1:34" ht="45" customHeight="1">
      <c r="A81" s="2" t="s">
        <v>43</v>
      </c>
      <c r="B81" s="2" t="s">
        <v>908</v>
      </c>
      <c r="C81" s="2" t="s">
        <v>909</v>
      </c>
      <c r="D81" s="2" t="s">
        <v>943</v>
      </c>
      <c r="E81" s="2" t="s">
        <v>944</v>
      </c>
      <c r="F81" s="2" t="s">
        <v>945</v>
      </c>
      <c r="G81" s="28" t="s">
        <v>913</v>
      </c>
      <c r="H81" s="13" t="s">
        <v>914</v>
      </c>
      <c r="I81" s="13" t="s">
        <v>72</v>
      </c>
      <c r="J81" s="13" t="s">
        <v>946</v>
      </c>
      <c r="K81" s="2" t="s">
        <v>916</v>
      </c>
      <c r="L81" s="2" t="s">
        <v>917</v>
      </c>
      <c r="M81" s="2" t="s">
        <v>916</v>
      </c>
      <c r="N81" s="2" t="s">
        <v>917</v>
      </c>
      <c r="O81" s="28" t="s">
        <v>918</v>
      </c>
      <c r="P81" s="2" t="s">
        <v>396</v>
      </c>
      <c r="Q81" s="2" t="s">
        <v>72</v>
      </c>
      <c r="R81" s="2" t="s">
        <v>947</v>
      </c>
      <c r="S81" s="28" t="s">
        <v>920</v>
      </c>
      <c r="T81" s="2" t="s">
        <v>921</v>
      </c>
      <c r="U81" s="2" t="s">
        <v>72</v>
      </c>
      <c r="V81" s="2" t="s">
        <v>948</v>
      </c>
      <c r="W81" s="28" t="s">
        <v>923</v>
      </c>
      <c r="X81" s="2" t="s">
        <v>396</v>
      </c>
      <c r="Y81" s="2" t="s">
        <v>72</v>
      </c>
      <c r="Z81" s="2" t="s">
        <v>949</v>
      </c>
      <c r="AA81" s="28" t="s">
        <v>925</v>
      </c>
      <c r="AB81" s="2" t="s">
        <v>926</v>
      </c>
      <c r="AC81" s="2" t="s">
        <v>72</v>
      </c>
      <c r="AD81" s="2" t="s">
        <v>950</v>
      </c>
      <c r="AE81" s="2" t="s">
        <v>951</v>
      </c>
      <c r="AF81" s="2" t="s">
        <v>952</v>
      </c>
      <c r="AG81" s="2" t="s">
        <v>953</v>
      </c>
      <c r="AH81" s="2" t="s">
        <v>931</v>
      </c>
    </row>
    <row r="82" spans="1:34" ht="45" customHeight="1">
      <c r="A82" s="1" t="s">
        <v>43</v>
      </c>
      <c r="B82" s="1" t="s">
        <v>908</v>
      </c>
      <c r="C82" s="1" t="s">
        <v>909</v>
      </c>
      <c r="D82" s="1" t="s">
        <v>737</v>
      </c>
      <c r="E82" s="1" t="s">
        <v>954</v>
      </c>
      <c r="F82" s="1" t="s">
        <v>955</v>
      </c>
      <c r="G82" s="29" t="s">
        <v>913</v>
      </c>
      <c r="H82" s="1" t="s">
        <v>914</v>
      </c>
      <c r="I82" s="1" t="s">
        <v>72</v>
      </c>
      <c r="J82" s="1" t="s">
        <v>956</v>
      </c>
      <c r="K82" s="1" t="s">
        <v>916</v>
      </c>
      <c r="L82" s="1" t="s">
        <v>917</v>
      </c>
      <c r="M82" s="1" t="s">
        <v>916</v>
      </c>
      <c r="N82" s="1" t="s">
        <v>917</v>
      </c>
      <c r="O82" s="29" t="s">
        <v>918</v>
      </c>
      <c r="P82" s="1" t="s">
        <v>396</v>
      </c>
      <c r="Q82" s="1" t="s">
        <v>72</v>
      </c>
      <c r="R82" s="1" t="s">
        <v>957</v>
      </c>
      <c r="S82" s="28" t="s">
        <v>920</v>
      </c>
      <c r="T82" s="1" t="s">
        <v>921</v>
      </c>
      <c r="U82" s="1" t="s">
        <v>72</v>
      </c>
      <c r="V82" s="1" t="s">
        <v>958</v>
      </c>
      <c r="W82" s="28" t="s">
        <v>923</v>
      </c>
      <c r="X82" s="1" t="s">
        <v>396</v>
      </c>
      <c r="Y82" s="1" t="s">
        <v>72</v>
      </c>
      <c r="Z82" s="1" t="s">
        <v>959</v>
      </c>
      <c r="AA82" s="29" t="s">
        <v>925</v>
      </c>
      <c r="AB82" s="1" t="s">
        <v>926</v>
      </c>
      <c r="AC82" s="1" t="s">
        <v>72</v>
      </c>
      <c r="AD82" s="1" t="s">
        <v>960</v>
      </c>
      <c r="AE82" s="1" t="s">
        <v>961</v>
      </c>
      <c r="AF82" s="1" t="s">
        <v>962</v>
      </c>
      <c r="AG82" s="1" t="s">
        <v>963</v>
      </c>
      <c r="AH82" s="1" t="s">
        <v>931</v>
      </c>
    </row>
    <row r="83" spans="1:34" ht="45" customHeight="1">
      <c r="A83" s="2" t="s">
        <v>43</v>
      </c>
      <c r="B83" s="2" t="s">
        <v>908</v>
      </c>
      <c r="C83" s="2" t="s">
        <v>909</v>
      </c>
      <c r="D83" s="2" t="s">
        <v>910</v>
      </c>
      <c r="E83" s="2" t="s">
        <v>911</v>
      </c>
      <c r="F83" s="2" t="s">
        <v>912</v>
      </c>
      <c r="G83" s="28" t="s">
        <v>913</v>
      </c>
      <c r="H83" s="2" t="s">
        <v>914</v>
      </c>
      <c r="I83" s="2" t="s">
        <v>72</v>
      </c>
      <c r="J83" s="2" t="s">
        <v>915</v>
      </c>
      <c r="K83" s="2" t="s">
        <v>916</v>
      </c>
      <c r="L83" s="2" t="s">
        <v>917</v>
      </c>
      <c r="M83" s="2" t="s">
        <v>916</v>
      </c>
      <c r="N83" s="2" t="s">
        <v>917</v>
      </c>
      <c r="O83" s="28" t="s">
        <v>918</v>
      </c>
      <c r="P83" s="2" t="s">
        <v>396</v>
      </c>
      <c r="Q83" s="2" t="s">
        <v>72</v>
      </c>
      <c r="R83" s="2" t="s">
        <v>964</v>
      </c>
      <c r="S83" s="28" t="s">
        <v>920</v>
      </c>
      <c r="T83" s="2" t="s">
        <v>921</v>
      </c>
      <c r="U83" s="2" t="s">
        <v>72</v>
      </c>
      <c r="V83" s="2" t="s">
        <v>965</v>
      </c>
      <c r="W83" s="28" t="s">
        <v>923</v>
      </c>
      <c r="X83" s="2" t="s">
        <v>396</v>
      </c>
      <c r="Y83" s="2" t="s">
        <v>72</v>
      </c>
      <c r="Z83" s="2" t="s">
        <v>966</v>
      </c>
      <c r="AA83" s="28" t="s">
        <v>925</v>
      </c>
      <c r="AB83" s="2" t="s">
        <v>926</v>
      </c>
      <c r="AC83" s="2" t="s">
        <v>72</v>
      </c>
      <c r="AD83" s="2" t="s">
        <v>967</v>
      </c>
      <c r="AE83" s="2" t="s">
        <v>968</v>
      </c>
      <c r="AF83" s="2" t="s">
        <v>969</v>
      </c>
      <c r="AG83" s="2" t="s">
        <v>970</v>
      </c>
      <c r="AH83" s="2" t="s">
        <v>931</v>
      </c>
    </row>
    <row r="84" spans="1:34" ht="45" customHeight="1">
      <c r="A84" s="1" t="s">
        <v>43</v>
      </c>
      <c r="B84" s="1" t="s">
        <v>908</v>
      </c>
      <c r="C84" s="1" t="s">
        <v>909</v>
      </c>
      <c r="D84" s="1" t="s">
        <v>932</v>
      </c>
      <c r="E84" s="1" t="s">
        <v>933</v>
      </c>
      <c r="F84" s="1" t="s">
        <v>934</v>
      </c>
      <c r="G84" s="29" t="s">
        <v>913</v>
      </c>
      <c r="H84" s="1" t="s">
        <v>914</v>
      </c>
      <c r="I84" s="1" t="s">
        <v>72</v>
      </c>
      <c r="J84" s="1" t="s">
        <v>935</v>
      </c>
      <c r="K84" s="1" t="s">
        <v>916</v>
      </c>
      <c r="L84" s="1" t="s">
        <v>917</v>
      </c>
      <c r="M84" s="1" t="s">
        <v>916</v>
      </c>
      <c r="N84" s="1" t="s">
        <v>917</v>
      </c>
      <c r="O84" s="29" t="s">
        <v>918</v>
      </c>
      <c r="P84" s="1" t="s">
        <v>396</v>
      </c>
      <c r="Q84" s="1" t="s">
        <v>72</v>
      </c>
      <c r="R84" s="1" t="s">
        <v>971</v>
      </c>
      <c r="S84" s="28" t="s">
        <v>920</v>
      </c>
      <c r="T84" s="1" t="s">
        <v>921</v>
      </c>
      <c r="U84" s="1" t="s">
        <v>72</v>
      </c>
      <c r="V84" s="1" t="s">
        <v>972</v>
      </c>
      <c r="W84" s="28" t="s">
        <v>923</v>
      </c>
      <c r="X84" s="1" t="s">
        <v>396</v>
      </c>
      <c r="Y84" s="1" t="s">
        <v>72</v>
      </c>
      <c r="Z84" s="1" t="s">
        <v>973</v>
      </c>
      <c r="AA84" s="29" t="s">
        <v>925</v>
      </c>
      <c r="AB84" s="1" t="s">
        <v>926</v>
      </c>
      <c r="AC84" s="1" t="s">
        <v>72</v>
      </c>
      <c r="AD84" s="1" t="s">
        <v>974</v>
      </c>
      <c r="AE84" s="1" t="s">
        <v>975</v>
      </c>
      <c r="AF84" s="1" t="s">
        <v>976</v>
      </c>
      <c r="AG84" s="1" t="s">
        <v>977</v>
      </c>
      <c r="AH84" s="1" t="s">
        <v>931</v>
      </c>
    </row>
    <row r="85" spans="1:34" ht="45" customHeight="1">
      <c r="A85" s="2" t="s">
        <v>43</v>
      </c>
      <c r="B85" s="2" t="s">
        <v>908</v>
      </c>
      <c r="C85" s="2" t="s">
        <v>909</v>
      </c>
      <c r="D85" s="2" t="s">
        <v>910</v>
      </c>
      <c r="E85" s="2" t="s">
        <v>911</v>
      </c>
      <c r="F85" s="2" t="s">
        <v>912</v>
      </c>
      <c r="G85" s="28" t="s">
        <v>913</v>
      </c>
      <c r="H85" s="2" t="s">
        <v>914</v>
      </c>
      <c r="I85" s="2" t="s">
        <v>72</v>
      </c>
      <c r="J85" s="2" t="s">
        <v>915</v>
      </c>
      <c r="K85" s="2" t="s">
        <v>916</v>
      </c>
      <c r="L85" s="2" t="s">
        <v>917</v>
      </c>
      <c r="M85" s="2" t="s">
        <v>916</v>
      </c>
      <c r="N85" s="2" t="s">
        <v>917</v>
      </c>
      <c r="O85" s="28" t="s">
        <v>918</v>
      </c>
      <c r="P85" s="2" t="s">
        <v>396</v>
      </c>
      <c r="Q85" s="2" t="s">
        <v>72</v>
      </c>
      <c r="R85" s="2" t="s">
        <v>978</v>
      </c>
      <c r="S85" s="28" t="s">
        <v>920</v>
      </c>
      <c r="T85" s="2" t="s">
        <v>921</v>
      </c>
      <c r="U85" s="2" t="s">
        <v>72</v>
      </c>
      <c r="V85" s="2" t="s">
        <v>979</v>
      </c>
      <c r="W85" s="28" t="s">
        <v>923</v>
      </c>
      <c r="X85" s="2" t="s">
        <v>980</v>
      </c>
      <c r="Y85" s="2" t="s">
        <v>72</v>
      </c>
      <c r="Z85" s="2" t="s">
        <v>981</v>
      </c>
      <c r="AA85" s="28" t="s">
        <v>925</v>
      </c>
      <c r="AB85" s="2" t="s">
        <v>926</v>
      </c>
      <c r="AC85" s="2" t="s">
        <v>72</v>
      </c>
      <c r="AD85" s="2" t="s">
        <v>982</v>
      </c>
      <c r="AE85" s="2" t="s">
        <v>983</v>
      </c>
      <c r="AF85" s="2" t="s">
        <v>984</v>
      </c>
      <c r="AG85" s="2" t="s">
        <v>985</v>
      </c>
      <c r="AH85" s="2" t="s">
        <v>931</v>
      </c>
    </row>
    <row r="86" spans="1:34" ht="85.5" customHeight="1">
      <c r="A86" s="1" t="s">
        <v>43</v>
      </c>
      <c r="B86" s="1" t="s">
        <v>986</v>
      </c>
      <c r="C86" s="1" t="s">
        <v>987</v>
      </c>
      <c r="D86" s="1" t="s">
        <v>988</v>
      </c>
      <c r="E86" s="1" t="s">
        <v>989</v>
      </c>
      <c r="F86" s="1" t="s">
        <v>990</v>
      </c>
      <c r="G86" s="29" t="s">
        <v>91</v>
      </c>
      <c r="H86" s="1" t="s">
        <v>991</v>
      </c>
      <c r="I86" s="1" t="s">
        <v>72</v>
      </c>
      <c r="J86" s="1" t="s">
        <v>992</v>
      </c>
      <c r="K86" s="1" t="s">
        <v>993</v>
      </c>
      <c r="L86" s="1" t="s">
        <v>994</v>
      </c>
      <c r="M86" t="s">
        <v>995</v>
      </c>
      <c r="N86" s="1" t="s">
        <v>994</v>
      </c>
      <c r="O86" s="29" t="s">
        <v>996</v>
      </c>
      <c r="P86" s="1"/>
      <c r="Q86" s="1" t="s">
        <v>72</v>
      </c>
      <c r="R86" s="1" t="s">
        <v>997</v>
      </c>
      <c r="S86" s="29" t="s">
        <v>646</v>
      </c>
      <c r="T86" s="1" t="s">
        <v>998</v>
      </c>
      <c r="U86" s="1" t="s">
        <v>72</v>
      </c>
      <c r="V86" s="1" t="s">
        <v>999</v>
      </c>
      <c r="W86" s="29" t="s">
        <v>1000</v>
      </c>
      <c r="X86" s="1"/>
      <c r="Y86" s="1" t="s">
        <v>72</v>
      </c>
      <c r="Z86" s="1" t="s">
        <v>1001</v>
      </c>
      <c r="AA86" s="29" t="s">
        <v>651</v>
      </c>
      <c r="AB86" s="1" t="s">
        <v>1002</v>
      </c>
      <c r="AC86" s="1" t="s">
        <v>72</v>
      </c>
      <c r="AD86" s="1" t="s">
        <v>1003</v>
      </c>
      <c r="AE86" s="1" t="s">
        <v>1004</v>
      </c>
      <c r="AF86" s="1" t="s">
        <v>1005</v>
      </c>
      <c r="AG86" s="1" t="s">
        <v>1006</v>
      </c>
      <c r="AH86" s="1" t="s">
        <v>87</v>
      </c>
    </row>
    <row r="87" spans="1:34" ht="75" customHeight="1">
      <c r="A87" s="2" t="s">
        <v>43</v>
      </c>
      <c r="B87" s="2" t="s">
        <v>986</v>
      </c>
      <c r="C87" s="2" t="s">
        <v>987</v>
      </c>
      <c r="D87" s="2" t="s">
        <v>1007</v>
      </c>
      <c r="E87" s="2" t="s">
        <v>1008</v>
      </c>
      <c r="F87" s="2" t="s">
        <v>1009</v>
      </c>
      <c r="G87" s="28" t="s">
        <v>91</v>
      </c>
      <c r="H87" s="2" t="s">
        <v>991</v>
      </c>
      <c r="I87" s="2" t="s">
        <v>72</v>
      </c>
      <c r="J87" s="2" t="s">
        <v>1010</v>
      </c>
      <c r="K87" s="2" t="s">
        <v>993</v>
      </c>
      <c r="L87" s="2" t="s">
        <v>994</v>
      </c>
      <c r="M87" t="s">
        <v>995</v>
      </c>
      <c r="N87" s="2" t="s">
        <v>994</v>
      </c>
      <c r="O87" s="28" t="s">
        <v>1011</v>
      </c>
      <c r="P87" s="2"/>
      <c r="Q87" s="2" t="s">
        <v>72</v>
      </c>
      <c r="R87" s="2" t="s">
        <v>1012</v>
      </c>
      <c r="S87" s="29" t="s">
        <v>646</v>
      </c>
      <c r="T87" s="2" t="s">
        <v>998</v>
      </c>
      <c r="U87" s="2" t="s">
        <v>72</v>
      </c>
      <c r="V87" s="2" t="s">
        <v>1013</v>
      </c>
      <c r="W87" s="29" t="s">
        <v>1000</v>
      </c>
      <c r="X87" s="2"/>
      <c r="Y87" s="2" t="s">
        <v>72</v>
      </c>
      <c r="Z87" s="2" t="s">
        <v>1014</v>
      </c>
      <c r="AA87" s="28" t="s">
        <v>651</v>
      </c>
      <c r="AB87" s="2" t="s">
        <v>1002</v>
      </c>
      <c r="AC87" s="2" t="s">
        <v>72</v>
      </c>
      <c r="AD87" s="2" t="s">
        <v>1015</v>
      </c>
      <c r="AE87" s="2" t="s">
        <v>1016</v>
      </c>
      <c r="AF87" s="2" t="s">
        <v>1017</v>
      </c>
      <c r="AG87" s="2" t="s">
        <v>1018</v>
      </c>
      <c r="AH87" s="2" t="s">
        <v>87</v>
      </c>
    </row>
    <row r="88" spans="1:34" ht="73.5" customHeight="1">
      <c r="A88" s="1" t="s">
        <v>43</v>
      </c>
      <c r="B88" s="1" t="s">
        <v>986</v>
      </c>
      <c r="C88" s="1" t="s">
        <v>987</v>
      </c>
      <c r="D88" s="1" t="s">
        <v>1019</v>
      </c>
      <c r="E88" s="1" t="s">
        <v>1020</v>
      </c>
      <c r="F88" s="1" t="s">
        <v>1021</v>
      </c>
      <c r="G88" s="29" t="s">
        <v>91</v>
      </c>
      <c r="H88" s="1" t="s">
        <v>991</v>
      </c>
      <c r="I88" s="1" t="s">
        <v>72</v>
      </c>
      <c r="J88" s="1" t="s">
        <v>1022</v>
      </c>
      <c r="K88" s="1" t="s">
        <v>993</v>
      </c>
      <c r="L88" s="1" t="s">
        <v>994</v>
      </c>
      <c r="M88" t="s">
        <v>995</v>
      </c>
      <c r="N88" s="1" t="s">
        <v>994</v>
      </c>
      <c r="O88" s="29" t="s">
        <v>1023</v>
      </c>
      <c r="P88" s="1"/>
      <c r="Q88" s="1" t="s">
        <v>72</v>
      </c>
      <c r="R88" s="1" t="s">
        <v>1024</v>
      </c>
      <c r="S88" s="29" t="s">
        <v>646</v>
      </c>
      <c r="T88" s="1" t="s">
        <v>998</v>
      </c>
      <c r="U88" s="1" t="s">
        <v>72</v>
      </c>
      <c r="V88" s="1" t="s">
        <v>1025</v>
      </c>
      <c r="W88" s="29" t="s">
        <v>1000</v>
      </c>
      <c r="X88" s="1"/>
      <c r="Y88" s="1" t="s">
        <v>72</v>
      </c>
      <c r="Z88" s="1" t="s">
        <v>1026</v>
      </c>
      <c r="AA88" s="29" t="s">
        <v>651</v>
      </c>
      <c r="AB88" s="1" t="s">
        <v>1002</v>
      </c>
      <c r="AC88" s="1" t="s">
        <v>72</v>
      </c>
      <c r="AD88" s="1" t="s">
        <v>1027</v>
      </c>
      <c r="AE88" s="1" t="s">
        <v>1028</v>
      </c>
      <c r="AF88" s="1" t="s">
        <v>1029</v>
      </c>
      <c r="AG88" s="1" t="s">
        <v>1030</v>
      </c>
      <c r="AH88" s="1" t="s">
        <v>87</v>
      </c>
    </row>
    <row r="89" spans="1:34" ht="45" customHeight="1">
      <c r="A89" s="2" t="s">
        <v>43</v>
      </c>
      <c r="B89" s="2" t="s">
        <v>986</v>
      </c>
      <c r="C89" s="2" t="s">
        <v>987</v>
      </c>
      <c r="D89" s="2" t="s">
        <v>1031</v>
      </c>
      <c r="E89" s="2" t="s">
        <v>1032</v>
      </c>
      <c r="F89" s="2" t="s">
        <v>1033</v>
      </c>
      <c r="G89" s="28" t="s">
        <v>91</v>
      </c>
      <c r="H89" s="2" t="s">
        <v>991</v>
      </c>
      <c r="I89" s="2" t="s">
        <v>72</v>
      </c>
      <c r="J89" s="2" t="s">
        <v>1034</v>
      </c>
      <c r="K89" s="2" t="s">
        <v>993</v>
      </c>
      <c r="L89" s="2" t="s">
        <v>994</v>
      </c>
      <c r="M89" t="s">
        <v>995</v>
      </c>
      <c r="N89" s="2" t="s">
        <v>994</v>
      </c>
      <c r="O89" s="28" t="s">
        <v>1035</v>
      </c>
      <c r="P89" s="2"/>
      <c r="Q89" s="2" t="s">
        <v>72</v>
      </c>
      <c r="R89" s="2" t="s">
        <v>1036</v>
      </c>
      <c r="S89" s="29" t="s">
        <v>646</v>
      </c>
      <c r="T89" s="2" t="s">
        <v>998</v>
      </c>
      <c r="U89" s="2" t="s">
        <v>72</v>
      </c>
      <c r="V89" s="2" t="s">
        <v>1037</v>
      </c>
      <c r="W89" s="29" t="s">
        <v>1000</v>
      </c>
      <c r="X89" s="2"/>
      <c r="Y89" s="2" t="s">
        <v>72</v>
      </c>
      <c r="Z89" s="2" t="s">
        <v>1038</v>
      </c>
      <c r="AA89" s="28" t="s">
        <v>651</v>
      </c>
      <c r="AB89" s="2" t="s">
        <v>1002</v>
      </c>
      <c r="AC89" s="2" t="s">
        <v>72</v>
      </c>
      <c r="AD89" s="2" t="s">
        <v>1039</v>
      </c>
      <c r="AE89" s="2" t="s">
        <v>1040</v>
      </c>
      <c r="AF89" s="2" t="s">
        <v>1041</v>
      </c>
      <c r="AG89" s="2" t="s">
        <v>1042</v>
      </c>
      <c r="AH89" s="2" t="s">
        <v>87</v>
      </c>
    </row>
    <row r="90" spans="1:34" ht="45" customHeight="1">
      <c r="A90" s="1" t="s">
        <v>43</v>
      </c>
      <c r="B90" s="1" t="s">
        <v>986</v>
      </c>
      <c r="C90" s="1" t="s">
        <v>987</v>
      </c>
      <c r="D90" s="1" t="s">
        <v>1043</v>
      </c>
      <c r="E90" s="1" t="s">
        <v>1044</v>
      </c>
      <c r="F90" s="1" t="s">
        <v>1045</v>
      </c>
      <c r="G90" s="29" t="s">
        <v>91</v>
      </c>
      <c r="H90" s="1" t="s">
        <v>991</v>
      </c>
      <c r="I90" s="1" t="s">
        <v>72</v>
      </c>
      <c r="J90" s="1" t="s">
        <v>1046</v>
      </c>
      <c r="K90" s="1" t="s">
        <v>993</v>
      </c>
      <c r="L90" s="1" t="s">
        <v>994</v>
      </c>
      <c r="M90" t="s">
        <v>995</v>
      </c>
      <c r="N90" s="1" t="s">
        <v>994</v>
      </c>
      <c r="O90" s="29" t="s">
        <v>1047</v>
      </c>
      <c r="P90" s="1"/>
      <c r="Q90" s="1" t="s">
        <v>72</v>
      </c>
      <c r="R90" s="1" t="s">
        <v>1048</v>
      </c>
      <c r="S90" s="29" t="s">
        <v>646</v>
      </c>
      <c r="T90" s="1" t="s">
        <v>998</v>
      </c>
      <c r="U90" s="1" t="s">
        <v>72</v>
      </c>
      <c r="V90" s="1" t="s">
        <v>1049</v>
      </c>
      <c r="W90" s="29" t="s">
        <v>1000</v>
      </c>
      <c r="X90" s="1"/>
      <c r="Y90" s="1" t="s">
        <v>72</v>
      </c>
      <c r="Z90" s="1" t="s">
        <v>1050</v>
      </c>
      <c r="AA90" s="29" t="s">
        <v>651</v>
      </c>
      <c r="AB90" s="1" t="s">
        <v>1002</v>
      </c>
      <c r="AC90" s="1" t="s">
        <v>72</v>
      </c>
      <c r="AD90" s="1" t="s">
        <v>1051</v>
      </c>
      <c r="AE90" s="1" t="s">
        <v>1052</v>
      </c>
      <c r="AF90" s="1" t="s">
        <v>1053</v>
      </c>
      <c r="AG90" s="1" t="s">
        <v>1054</v>
      </c>
      <c r="AH90" s="1" t="s">
        <v>87</v>
      </c>
    </row>
    <row r="91" spans="1:34" ht="45" customHeight="1">
      <c r="A91" s="2" t="s">
        <v>43</v>
      </c>
      <c r="B91" s="2" t="s">
        <v>986</v>
      </c>
      <c r="C91" s="2" t="s">
        <v>987</v>
      </c>
      <c r="D91" s="2" t="s">
        <v>1055</v>
      </c>
      <c r="E91" s="2" t="s">
        <v>1056</v>
      </c>
      <c r="F91" s="2" t="s">
        <v>1057</v>
      </c>
      <c r="G91" s="28" t="s">
        <v>91</v>
      </c>
      <c r="H91" s="2" t="s">
        <v>991</v>
      </c>
      <c r="I91" s="2" t="s">
        <v>72</v>
      </c>
      <c r="J91" s="2" t="s">
        <v>1058</v>
      </c>
      <c r="K91" s="2" t="s">
        <v>993</v>
      </c>
      <c r="L91" s="2" t="s">
        <v>994</v>
      </c>
      <c r="M91" t="s">
        <v>995</v>
      </c>
      <c r="N91" s="2" t="s">
        <v>994</v>
      </c>
      <c r="O91" s="28" t="s">
        <v>1059</v>
      </c>
      <c r="P91" s="2"/>
      <c r="Q91" s="2" t="s">
        <v>72</v>
      </c>
      <c r="R91" s="2" t="s">
        <v>1060</v>
      </c>
      <c r="S91" s="29" t="s">
        <v>646</v>
      </c>
      <c r="T91" s="2" t="s">
        <v>998</v>
      </c>
      <c r="U91" s="2" t="s">
        <v>72</v>
      </c>
      <c r="V91" s="2" t="s">
        <v>1061</v>
      </c>
      <c r="W91" s="29" t="s">
        <v>1000</v>
      </c>
      <c r="X91" s="2"/>
      <c r="Y91" s="2" t="s">
        <v>72</v>
      </c>
      <c r="Z91" s="2" t="s">
        <v>1062</v>
      </c>
      <c r="AA91" s="28" t="s">
        <v>651</v>
      </c>
      <c r="AB91" s="2" t="s">
        <v>1002</v>
      </c>
      <c r="AC91" s="2" t="s">
        <v>72</v>
      </c>
      <c r="AD91" s="2" t="s">
        <v>1063</v>
      </c>
      <c r="AE91" s="2" t="s">
        <v>1064</v>
      </c>
      <c r="AF91" s="2" t="s">
        <v>1065</v>
      </c>
      <c r="AG91" s="2" t="s">
        <v>1066</v>
      </c>
      <c r="AH91" s="2" t="s">
        <v>87</v>
      </c>
    </row>
    <row r="92" spans="1:34" ht="20.100000000000001" customHeight="1">
      <c r="A92" s="3" t="s">
        <v>1067</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row>
    <row r="93" spans="1:34" ht="72" customHeight="1">
      <c r="A93" s="2" t="s">
        <v>43</v>
      </c>
      <c r="B93" s="2" t="s">
        <v>1068</v>
      </c>
      <c r="C93" s="2" t="s">
        <v>1069</v>
      </c>
      <c r="D93" s="2" t="s">
        <v>1070</v>
      </c>
      <c r="E93" s="2" t="s">
        <v>1071</v>
      </c>
      <c r="F93" s="2" t="s">
        <v>1072</v>
      </c>
      <c r="G93" s="28" t="s">
        <v>1073</v>
      </c>
      <c r="H93" s="2" t="s">
        <v>1074</v>
      </c>
      <c r="I93" s="2" t="s">
        <v>72</v>
      </c>
      <c r="J93" s="2" t="s">
        <v>1075</v>
      </c>
      <c r="K93" s="2" t="s">
        <v>1076</v>
      </c>
      <c r="L93" s="2" t="s">
        <v>1077</v>
      </c>
      <c r="M93" s="2" t="s">
        <v>1076</v>
      </c>
      <c r="N93" s="2" t="s">
        <v>1077</v>
      </c>
      <c r="O93" s="28" t="s">
        <v>1078</v>
      </c>
      <c r="P93" s="2"/>
      <c r="Q93" s="2" t="s">
        <v>72</v>
      </c>
      <c r="R93" s="2" t="s">
        <v>1079</v>
      </c>
      <c r="S93" s="28" t="s">
        <v>920</v>
      </c>
      <c r="T93" s="2" t="s">
        <v>1080</v>
      </c>
      <c r="U93" s="2" t="s">
        <v>72</v>
      </c>
      <c r="V93" s="2" t="s">
        <v>1081</v>
      </c>
      <c r="W93" s="28" t="s">
        <v>876</v>
      </c>
      <c r="X93" s="2"/>
      <c r="Y93" s="2" t="s">
        <v>72</v>
      </c>
      <c r="Z93" s="2" t="s">
        <v>1082</v>
      </c>
      <c r="AA93" s="28" t="s">
        <v>1083</v>
      </c>
      <c r="AB93" s="2" t="s">
        <v>1084</v>
      </c>
      <c r="AC93" s="2" t="s">
        <v>72</v>
      </c>
      <c r="AD93" s="2" t="s">
        <v>1085</v>
      </c>
      <c r="AE93" s="2" t="s">
        <v>1086</v>
      </c>
      <c r="AF93" s="2" t="s">
        <v>1087</v>
      </c>
      <c r="AG93" s="2" t="s">
        <v>1088</v>
      </c>
      <c r="AH93" s="2" t="s">
        <v>931</v>
      </c>
    </row>
    <row r="94" spans="1:34" ht="62.25" customHeight="1">
      <c r="A94" s="1" t="s">
        <v>43</v>
      </c>
      <c r="B94" s="1" t="s">
        <v>1068</v>
      </c>
      <c r="C94" s="1" t="s">
        <v>1069</v>
      </c>
      <c r="D94" s="1" t="s">
        <v>1089</v>
      </c>
      <c r="E94" s="1" t="s">
        <v>1090</v>
      </c>
      <c r="F94" s="1" t="s">
        <v>1091</v>
      </c>
      <c r="G94" s="29" t="s">
        <v>1092</v>
      </c>
      <c r="H94" s="1" t="s">
        <v>1074</v>
      </c>
      <c r="I94" s="1" t="s">
        <v>72</v>
      </c>
      <c r="J94" s="1" t="s">
        <v>1093</v>
      </c>
      <c r="K94" s="2" t="s">
        <v>1076</v>
      </c>
      <c r="L94" s="1" t="s">
        <v>1077</v>
      </c>
      <c r="M94" s="1" t="s">
        <v>1076</v>
      </c>
      <c r="N94" s="1" t="s">
        <v>1077</v>
      </c>
      <c r="O94" s="29" t="s">
        <v>1094</v>
      </c>
      <c r="P94" s="1"/>
      <c r="Q94" s="1" t="s">
        <v>72</v>
      </c>
      <c r="R94" s="1" t="s">
        <v>1095</v>
      </c>
      <c r="S94" s="28" t="s">
        <v>920</v>
      </c>
      <c r="T94" s="1" t="s">
        <v>1080</v>
      </c>
      <c r="U94" s="1" t="s">
        <v>72</v>
      </c>
      <c r="V94" s="1" t="s">
        <v>1096</v>
      </c>
      <c r="W94" s="28" t="s">
        <v>876</v>
      </c>
      <c r="X94" s="1"/>
      <c r="Y94" s="1" t="s">
        <v>72</v>
      </c>
      <c r="Z94" s="1" t="s">
        <v>1097</v>
      </c>
      <c r="AA94" s="28" t="s">
        <v>1083</v>
      </c>
      <c r="AB94" s="1" t="s">
        <v>1084</v>
      </c>
      <c r="AC94" s="1" t="s">
        <v>72</v>
      </c>
      <c r="AD94" s="1" t="s">
        <v>1098</v>
      </c>
      <c r="AE94" s="1" t="s">
        <v>1099</v>
      </c>
      <c r="AF94" s="1" t="s">
        <v>1100</v>
      </c>
      <c r="AG94" s="1" t="s">
        <v>1101</v>
      </c>
      <c r="AH94" s="1" t="s">
        <v>931</v>
      </c>
    </row>
    <row r="95" spans="1:34" ht="65.25" customHeight="1">
      <c r="A95" s="2" t="s">
        <v>43</v>
      </c>
      <c r="B95" s="2" t="s">
        <v>1068</v>
      </c>
      <c r="C95" s="2" t="s">
        <v>1069</v>
      </c>
      <c r="D95" s="2" t="s">
        <v>1102</v>
      </c>
      <c r="E95" s="2" t="s">
        <v>1103</v>
      </c>
      <c r="F95" s="2" t="s">
        <v>1104</v>
      </c>
      <c r="G95" s="28" t="s">
        <v>1073</v>
      </c>
      <c r="H95" s="2" t="s">
        <v>1074</v>
      </c>
      <c r="I95" s="2" t="s">
        <v>72</v>
      </c>
      <c r="J95" s="2" t="s">
        <v>1105</v>
      </c>
      <c r="K95" s="2" t="s">
        <v>1076</v>
      </c>
      <c r="L95" s="2" t="s">
        <v>1077</v>
      </c>
      <c r="M95" s="2" t="s">
        <v>1076</v>
      </c>
      <c r="N95" s="2" t="s">
        <v>1077</v>
      </c>
      <c r="O95" s="28" t="s">
        <v>1106</v>
      </c>
      <c r="P95" s="2"/>
      <c r="Q95" s="2" t="s">
        <v>72</v>
      </c>
      <c r="R95" s="2" t="s">
        <v>1107</v>
      </c>
      <c r="S95" s="28" t="s">
        <v>920</v>
      </c>
      <c r="T95" s="2" t="s">
        <v>1080</v>
      </c>
      <c r="U95" s="2" t="s">
        <v>72</v>
      </c>
      <c r="V95" s="2" t="s">
        <v>1108</v>
      </c>
      <c r="W95" s="28" t="s">
        <v>876</v>
      </c>
      <c r="X95" s="2"/>
      <c r="Y95" s="2" t="s">
        <v>72</v>
      </c>
      <c r="Z95" s="2" t="s">
        <v>1109</v>
      </c>
      <c r="AA95" s="28" t="s">
        <v>1083</v>
      </c>
      <c r="AB95" s="2" t="s">
        <v>1084</v>
      </c>
      <c r="AC95" s="2" t="s">
        <v>72</v>
      </c>
      <c r="AD95" s="2" t="s">
        <v>1110</v>
      </c>
      <c r="AE95" s="2" t="s">
        <v>1111</v>
      </c>
      <c r="AF95" s="2" t="s">
        <v>1112</v>
      </c>
      <c r="AG95" s="2" t="s">
        <v>1113</v>
      </c>
      <c r="AH95" s="2" t="s">
        <v>931</v>
      </c>
    </row>
    <row r="96" spans="1:34" ht="45" customHeight="1">
      <c r="A96" s="1" t="s">
        <v>43</v>
      </c>
      <c r="B96" s="1" t="s">
        <v>1068</v>
      </c>
      <c r="C96" s="1" t="s">
        <v>1069</v>
      </c>
      <c r="D96" s="1" t="s">
        <v>1114</v>
      </c>
      <c r="E96" s="1" t="s">
        <v>1115</v>
      </c>
      <c r="F96" s="1" t="s">
        <v>1116</v>
      </c>
      <c r="G96" s="29" t="s">
        <v>296</v>
      </c>
      <c r="H96" s="1" t="s">
        <v>1074</v>
      </c>
      <c r="I96" s="1" t="s">
        <v>72</v>
      </c>
      <c r="J96" s="1" t="s">
        <v>1117</v>
      </c>
      <c r="K96" s="2" t="s">
        <v>1076</v>
      </c>
      <c r="L96" s="1" t="s">
        <v>1077</v>
      </c>
      <c r="M96" s="1" t="s">
        <v>1076</v>
      </c>
      <c r="N96" s="1" t="s">
        <v>1077</v>
      </c>
      <c r="O96" s="29" t="s">
        <v>1118</v>
      </c>
      <c r="P96" s="1"/>
      <c r="Q96" s="1" t="s">
        <v>72</v>
      </c>
      <c r="R96" s="1" t="s">
        <v>1119</v>
      </c>
      <c r="S96" s="28" t="s">
        <v>920</v>
      </c>
      <c r="T96" s="1" t="s">
        <v>1080</v>
      </c>
      <c r="U96" s="1" t="s">
        <v>72</v>
      </c>
      <c r="V96" s="1" t="s">
        <v>1120</v>
      </c>
      <c r="W96" s="28" t="s">
        <v>876</v>
      </c>
      <c r="X96" s="1"/>
      <c r="Y96" s="1" t="s">
        <v>72</v>
      </c>
      <c r="Z96" s="1" t="s">
        <v>1121</v>
      </c>
      <c r="AA96" s="28" t="s">
        <v>1083</v>
      </c>
      <c r="AB96" s="1" t="s">
        <v>1084</v>
      </c>
      <c r="AC96" s="1" t="s">
        <v>72</v>
      </c>
      <c r="AD96" s="1" t="s">
        <v>1122</v>
      </c>
      <c r="AE96" s="1" t="s">
        <v>1123</v>
      </c>
      <c r="AF96" s="1" t="s">
        <v>1124</v>
      </c>
      <c r="AG96" s="1" t="s">
        <v>1125</v>
      </c>
      <c r="AH96" s="1" t="s">
        <v>931</v>
      </c>
    </row>
    <row r="97" spans="1:34" ht="57" customHeight="1">
      <c r="A97" s="2" t="s">
        <v>43</v>
      </c>
      <c r="B97" s="2" t="s">
        <v>1068</v>
      </c>
      <c r="C97" s="2" t="s">
        <v>1069</v>
      </c>
      <c r="D97" s="2" t="s">
        <v>1126</v>
      </c>
      <c r="E97" s="2" t="s">
        <v>1127</v>
      </c>
      <c r="F97" s="2" t="s">
        <v>1128</v>
      </c>
      <c r="G97" s="28" t="s">
        <v>1129</v>
      </c>
      <c r="H97" s="2" t="s">
        <v>1074</v>
      </c>
      <c r="I97" s="2" t="s">
        <v>72</v>
      </c>
      <c r="J97" s="2" t="s">
        <v>1130</v>
      </c>
      <c r="K97" s="2" t="s">
        <v>1076</v>
      </c>
      <c r="L97" s="2" t="s">
        <v>1077</v>
      </c>
      <c r="M97" s="2" t="s">
        <v>1076</v>
      </c>
      <c r="N97" s="2" t="s">
        <v>1077</v>
      </c>
      <c r="O97" s="28" t="s">
        <v>1131</v>
      </c>
      <c r="P97" s="2"/>
      <c r="Q97" s="2" t="s">
        <v>72</v>
      </c>
      <c r="R97" s="2" t="s">
        <v>1132</v>
      </c>
      <c r="S97" s="28" t="s">
        <v>920</v>
      </c>
      <c r="T97" s="2" t="s">
        <v>1080</v>
      </c>
      <c r="U97" s="2" t="s">
        <v>72</v>
      </c>
      <c r="V97" s="2" t="s">
        <v>1133</v>
      </c>
      <c r="W97" s="28" t="s">
        <v>876</v>
      </c>
      <c r="X97" s="2"/>
      <c r="Y97" s="2" t="s">
        <v>72</v>
      </c>
      <c r="Z97" s="2" t="s">
        <v>1134</v>
      </c>
      <c r="AA97" s="28" t="s">
        <v>1083</v>
      </c>
      <c r="AB97" s="2" t="s">
        <v>1084</v>
      </c>
      <c r="AC97" s="2" t="s">
        <v>72</v>
      </c>
      <c r="AD97" s="2" t="s">
        <v>1135</v>
      </c>
      <c r="AE97" s="2" t="s">
        <v>1136</v>
      </c>
      <c r="AF97" s="2" t="s">
        <v>1137</v>
      </c>
      <c r="AG97" s="2" t="s">
        <v>1138</v>
      </c>
      <c r="AH97" s="2" t="s">
        <v>931</v>
      </c>
    </row>
    <row r="98" spans="1:34" ht="45" customHeight="1">
      <c r="A98" s="1" t="s">
        <v>43</v>
      </c>
      <c r="B98" s="1" t="s">
        <v>1068</v>
      </c>
      <c r="C98" s="1" t="s">
        <v>1069</v>
      </c>
      <c r="D98" s="1" t="s">
        <v>1139</v>
      </c>
      <c r="E98" s="1" t="s">
        <v>1140</v>
      </c>
      <c r="F98" s="1" t="s">
        <v>1141</v>
      </c>
      <c r="G98" s="29" t="s">
        <v>1142</v>
      </c>
      <c r="H98" s="1" t="s">
        <v>1074</v>
      </c>
      <c r="I98" s="1" t="s">
        <v>72</v>
      </c>
      <c r="J98" s="1" t="s">
        <v>1143</v>
      </c>
      <c r="K98" s="2" t="s">
        <v>1076</v>
      </c>
      <c r="L98" s="1" t="s">
        <v>1077</v>
      </c>
      <c r="M98" s="1" t="s">
        <v>1076</v>
      </c>
      <c r="N98" s="1" t="s">
        <v>1077</v>
      </c>
      <c r="O98" s="29" t="s">
        <v>1144</v>
      </c>
      <c r="P98" s="1"/>
      <c r="Q98" s="1" t="s">
        <v>72</v>
      </c>
      <c r="R98" s="1" t="s">
        <v>1145</v>
      </c>
      <c r="S98" s="28" t="s">
        <v>920</v>
      </c>
      <c r="T98" s="1" t="s">
        <v>1080</v>
      </c>
      <c r="U98" s="1" t="s">
        <v>79</v>
      </c>
      <c r="V98" s="1" t="s">
        <v>1146</v>
      </c>
      <c r="W98" s="28" t="s">
        <v>876</v>
      </c>
      <c r="X98" s="1"/>
      <c r="Y98" s="1" t="s">
        <v>72</v>
      </c>
      <c r="Z98" s="1" t="s">
        <v>1147</v>
      </c>
      <c r="AA98" s="28" t="s">
        <v>1083</v>
      </c>
      <c r="AB98" s="1" t="s">
        <v>1084</v>
      </c>
      <c r="AC98" s="1" t="s">
        <v>72</v>
      </c>
      <c r="AD98" s="1" t="s">
        <v>1148</v>
      </c>
      <c r="AE98" s="1" t="s">
        <v>1149</v>
      </c>
      <c r="AF98" s="1" t="s">
        <v>1150</v>
      </c>
      <c r="AG98" s="1" t="s">
        <v>1151</v>
      </c>
      <c r="AH98" s="1" t="s">
        <v>931</v>
      </c>
    </row>
    <row r="99" spans="1:34" ht="45" customHeight="1">
      <c r="A99" s="2" t="s">
        <v>43</v>
      </c>
      <c r="B99" s="2" t="s">
        <v>1068</v>
      </c>
      <c r="C99" s="2" t="s">
        <v>1152</v>
      </c>
      <c r="D99" s="2" t="s">
        <v>1153</v>
      </c>
      <c r="E99" s="2" t="s">
        <v>1154</v>
      </c>
      <c r="F99" s="2" t="s">
        <v>1155</v>
      </c>
      <c r="G99" s="28" t="s">
        <v>1156</v>
      </c>
      <c r="H99" s="2" t="s">
        <v>1157</v>
      </c>
      <c r="I99" s="2" t="s">
        <v>72</v>
      </c>
      <c r="J99" s="2" t="s">
        <v>1158</v>
      </c>
      <c r="K99" s="2" t="s">
        <v>1159</v>
      </c>
      <c r="L99" s="2" t="s">
        <v>1160</v>
      </c>
      <c r="M99" s="2" t="s">
        <v>1161</v>
      </c>
      <c r="N99" s="2" t="s">
        <v>1160</v>
      </c>
      <c r="O99" s="28" t="s">
        <v>1162</v>
      </c>
      <c r="P99" s="2"/>
      <c r="Q99" s="2" t="s">
        <v>72</v>
      </c>
      <c r="R99" s="19" t="s">
        <v>1163</v>
      </c>
      <c r="S99" s="28" t="s">
        <v>920</v>
      </c>
      <c r="T99" s="14" t="s">
        <v>1164</v>
      </c>
      <c r="U99" s="2" t="s">
        <v>72</v>
      </c>
      <c r="V99" s="2" t="s">
        <v>1165</v>
      </c>
      <c r="W99" s="28" t="s">
        <v>876</v>
      </c>
      <c r="X99" s="2"/>
      <c r="Y99" s="2" t="s">
        <v>72</v>
      </c>
      <c r="Z99" s="2" t="s">
        <v>1166</v>
      </c>
      <c r="AA99" s="28" t="s">
        <v>1083</v>
      </c>
      <c r="AB99" s="2"/>
      <c r="AC99" s="2" t="s">
        <v>72</v>
      </c>
      <c r="AD99" s="2" t="s">
        <v>1167</v>
      </c>
      <c r="AE99" s="2" t="s">
        <v>1168</v>
      </c>
      <c r="AF99" s="2" t="s">
        <v>1169</v>
      </c>
      <c r="AG99" s="2" t="s">
        <v>1170</v>
      </c>
      <c r="AH99" s="2" t="s">
        <v>931</v>
      </c>
    </row>
    <row r="100" spans="1:34" ht="45" customHeight="1">
      <c r="A100" s="1" t="s">
        <v>43</v>
      </c>
      <c r="B100" s="1" t="s">
        <v>1068</v>
      </c>
      <c r="C100" s="1" t="s">
        <v>1152</v>
      </c>
      <c r="D100" s="1" t="s">
        <v>1171</v>
      </c>
      <c r="E100" s="1" t="s">
        <v>1172</v>
      </c>
      <c r="F100" s="1" t="s">
        <v>1173</v>
      </c>
      <c r="G100" s="29" t="s">
        <v>1156</v>
      </c>
      <c r="H100" s="1" t="s">
        <v>1157</v>
      </c>
      <c r="I100" s="1" t="s">
        <v>79</v>
      </c>
      <c r="J100" s="1" t="s">
        <v>1174</v>
      </c>
      <c r="K100" s="2" t="s">
        <v>1159</v>
      </c>
      <c r="L100" s="1" t="s">
        <v>1160</v>
      </c>
      <c r="M100" s="1" t="s">
        <v>1161</v>
      </c>
      <c r="N100" s="1" t="s">
        <v>1160</v>
      </c>
      <c r="O100" s="29" t="s">
        <v>1175</v>
      </c>
      <c r="P100" s="1"/>
      <c r="Q100" s="1" t="s">
        <v>72</v>
      </c>
      <c r="R100" s="1" t="s">
        <v>1176</v>
      </c>
      <c r="S100" s="28" t="s">
        <v>920</v>
      </c>
      <c r="T100" s="1" t="s">
        <v>1164</v>
      </c>
      <c r="U100" s="1" t="s">
        <v>72</v>
      </c>
      <c r="V100" s="1" t="s">
        <v>1177</v>
      </c>
      <c r="W100" s="28" t="s">
        <v>876</v>
      </c>
      <c r="X100" s="1"/>
      <c r="Y100" s="1" t="s">
        <v>72</v>
      </c>
      <c r="Z100" s="1" t="s">
        <v>1178</v>
      </c>
      <c r="AA100" s="28" t="s">
        <v>1083</v>
      </c>
      <c r="AB100" s="1"/>
      <c r="AC100" s="1" t="s">
        <v>72</v>
      </c>
      <c r="AD100" s="1" t="s">
        <v>1179</v>
      </c>
      <c r="AE100" s="1" t="s">
        <v>1180</v>
      </c>
      <c r="AF100" s="1" t="s">
        <v>1181</v>
      </c>
      <c r="AG100" s="1" t="s">
        <v>1182</v>
      </c>
      <c r="AH100" s="1" t="s">
        <v>931</v>
      </c>
    </row>
    <row r="101" spans="1:34" ht="45" customHeight="1">
      <c r="A101" s="2" t="s">
        <v>43</v>
      </c>
      <c r="B101" s="2" t="s">
        <v>1068</v>
      </c>
      <c r="C101" s="2" t="s">
        <v>1152</v>
      </c>
      <c r="D101" s="2" t="s">
        <v>1183</v>
      </c>
      <c r="E101" s="2" t="s">
        <v>1184</v>
      </c>
      <c r="F101" s="2" t="s">
        <v>1185</v>
      </c>
      <c r="G101" s="28" t="s">
        <v>1156</v>
      </c>
      <c r="H101" s="2" t="s">
        <v>1157</v>
      </c>
      <c r="I101" s="2" t="s">
        <v>72</v>
      </c>
      <c r="J101" s="2" t="s">
        <v>1186</v>
      </c>
      <c r="K101" s="2" t="s">
        <v>1159</v>
      </c>
      <c r="L101" s="2" t="s">
        <v>1160</v>
      </c>
      <c r="M101" s="2" t="s">
        <v>1161</v>
      </c>
      <c r="N101" s="2" t="s">
        <v>1160</v>
      </c>
      <c r="O101" s="28" t="s">
        <v>1187</v>
      </c>
      <c r="P101" s="2"/>
      <c r="Q101" s="2" t="s">
        <v>72</v>
      </c>
      <c r="R101" s="2" t="s">
        <v>1188</v>
      </c>
      <c r="S101" s="28" t="s">
        <v>920</v>
      </c>
      <c r="T101" s="2" t="s">
        <v>1164</v>
      </c>
      <c r="U101" s="2" t="s">
        <v>72</v>
      </c>
      <c r="V101" s="2" t="s">
        <v>1189</v>
      </c>
      <c r="W101" s="28" t="s">
        <v>876</v>
      </c>
      <c r="X101" s="2"/>
      <c r="Y101" s="2" t="s">
        <v>72</v>
      </c>
      <c r="Z101" s="2" t="s">
        <v>1190</v>
      </c>
      <c r="AA101" s="28" t="s">
        <v>1083</v>
      </c>
      <c r="AB101" s="2"/>
      <c r="AC101" s="2" t="s">
        <v>72</v>
      </c>
      <c r="AD101" s="2" t="s">
        <v>1191</v>
      </c>
      <c r="AE101" s="2" t="s">
        <v>1192</v>
      </c>
      <c r="AF101" s="2" t="s">
        <v>1193</v>
      </c>
      <c r="AG101" s="2" t="s">
        <v>1194</v>
      </c>
      <c r="AH101" s="2" t="s">
        <v>931</v>
      </c>
    </row>
    <row r="102" spans="1:34" ht="45" customHeight="1">
      <c r="A102" s="1" t="s">
        <v>43</v>
      </c>
      <c r="B102" s="1" t="s">
        <v>1068</v>
      </c>
      <c r="C102" s="1" t="s">
        <v>1152</v>
      </c>
      <c r="D102" s="1" t="s">
        <v>1195</v>
      </c>
      <c r="E102" s="1" t="s">
        <v>1196</v>
      </c>
      <c r="F102" s="1" t="s">
        <v>1197</v>
      </c>
      <c r="G102" s="29" t="s">
        <v>1156</v>
      </c>
      <c r="H102" s="1" t="s">
        <v>1157</v>
      </c>
      <c r="I102" s="1" t="s">
        <v>72</v>
      </c>
      <c r="J102" s="1" t="s">
        <v>1198</v>
      </c>
      <c r="K102" s="2" t="s">
        <v>1159</v>
      </c>
      <c r="L102" s="1" t="s">
        <v>1160</v>
      </c>
      <c r="M102" s="1" t="s">
        <v>1161</v>
      </c>
      <c r="N102" s="1" t="s">
        <v>1160</v>
      </c>
      <c r="O102" s="29" t="s">
        <v>1199</v>
      </c>
      <c r="P102" s="1"/>
      <c r="Q102" s="1" t="s">
        <v>72</v>
      </c>
      <c r="R102" s="1" t="s">
        <v>1200</v>
      </c>
      <c r="S102" s="28" t="s">
        <v>920</v>
      </c>
      <c r="T102" s="1" t="s">
        <v>1164</v>
      </c>
      <c r="U102" s="1" t="s">
        <v>72</v>
      </c>
      <c r="V102" s="1" t="s">
        <v>1201</v>
      </c>
      <c r="W102" s="28" t="s">
        <v>876</v>
      </c>
      <c r="X102" s="1"/>
      <c r="Y102" s="1" t="s">
        <v>72</v>
      </c>
      <c r="Z102" s="1" t="s">
        <v>1202</v>
      </c>
      <c r="AA102" s="28" t="s">
        <v>1083</v>
      </c>
      <c r="AB102" s="1"/>
      <c r="AC102" s="1" t="s">
        <v>72</v>
      </c>
      <c r="AD102" s="1" t="s">
        <v>1203</v>
      </c>
      <c r="AE102" s="1" t="s">
        <v>1204</v>
      </c>
      <c r="AF102" s="1" t="s">
        <v>1205</v>
      </c>
      <c r="AG102" s="1" t="s">
        <v>1206</v>
      </c>
      <c r="AH102" s="1" t="s">
        <v>931</v>
      </c>
    </row>
    <row r="103" spans="1:34" ht="45" customHeight="1">
      <c r="A103" s="2" t="s">
        <v>43</v>
      </c>
      <c r="B103" s="2" t="s">
        <v>1068</v>
      </c>
      <c r="C103" s="2" t="s">
        <v>1152</v>
      </c>
      <c r="D103" s="2" t="s">
        <v>1207</v>
      </c>
      <c r="E103" s="2" t="s">
        <v>1208</v>
      </c>
      <c r="F103" s="2" t="s">
        <v>1209</v>
      </c>
      <c r="G103" s="28" t="s">
        <v>1156</v>
      </c>
      <c r="H103" s="2" t="s">
        <v>1157</v>
      </c>
      <c r="I103" s="2" t="s">
        <v>72</v>
      </c>
      <c r="J103" s="2" t="s">
        <v>1210</v>
      </c>
      <c r="K103" s="2" t="s">
        <v>1159</v>
      </c>
      <c r="L103" s="2" t="s">
        <v>1160</v>
      </c>
      <c r="M103" s="2" t="s">
        <v>1161</v>
      </c>
      <c r="N103" s="2" t="s">
        <v>1160</v>
      </c>
      <c r="O103" s="28" t="s">
        <v>1211</v>
      </c>
      <c r="P103" s="2"/>
      <c r="Q103" s="2" t="s">
        <v>72</v>
      </c>
      <c r="R103" s="2" t="s">
        <v>1212</v>
      </c>
      <c r="S103" s="28" t="s">
        <v>920</v>
      </c>
      <c r="T103" s="2" t="s">
        <v>1164</v>
      </c>
      <c r="U103" s="2" t="s">
        <v>72</v>
      </c>
      <c r="V103" s="2" t="s">
        <v>1213</v>
      </c>
      <c r="W103" s="28" t="s">
        <v>876</v>
      </c>
      <c r="X103" s="2"/>
      <c r="Y103" s="2" t="s">
        <v>72</v>
      </c>
      <c r="Z103" s="2" t="s">
        <v>1214</v>
      </c>
      <c r="AA103" s="28" t="s">
        <v>1083</v>
      </c>
      <c r="AB103" s="2"/>
      <c r="AC103" s="2" t="s">
        <v>72</v>
      </c>
      <c r="AD103" s="2" t="s">
        <v>1215</v>
      </c>
      <c r="AE103" s="2" t="s">
        <v>1216</v>
      </c>
      <c r="AF103" s="2" t="s">
        <v>1217</v>
      </c>
      <c r="AG103" s="2" t="s">
        <v>678</v>
      </c>
      <c r="AH103" s="2" t="s">
        <v>931</v>
      </c>
    </row>
    <row r="104" spans="1:34" ht="45" customHeight="1">
      <c r="A104" s="1" t="s">
        <v>43</v>
      </c>
      <c r="B104" s="1" t="s">
        <v>1068</v>
      </c>
      <c r="C104" s="1" t="s">
        <v>1152</v>
      </c>
      <c r="D104" s="1" t="s">
        <v>1218</v>
      </c>
      <c r="E104" s="1" t="s">
        <v>1219</v>
      </c>
      <c r="F104" s="1" t="s">
        <v>1220</v>
      </c>
      <c r="G104" s="29" t="s">
        <v>1156</v>
      </c>
      <c r="H104" s="1" t="s">
        <v>1157</v>
      </c>
      <c r="I104" s="1" t="s">
        <v>72</v>
      </c>
      <c r="J104" s="1" t="s">
        <v>1221</v>
      </c>
      <c r="K104" s="2" t="s">
        <v>1159</v>
      </c>
      <c r="L104" s="1" t="s">
        <v>1160</v>
      </c>
      <c r="M104" s="1" t="s">
        <v>1161</v>
      </c>
      <c r="N104" s="1" t="s">
        <v>1160</v>
      </c>
      <c r="O104" s="29" t="s">
        <v>1222</v>
      </c>
      <c r="P104" s="1"/>
      <c r="Q104" s="1" t="s">
        <v>72</v>
      </c>
      <c r="R104" s="1" t="s">
        <v>1223</v>
      </c>
      <c r="S104" s="28" t="s">
        <v>920</v>
      </c>
      <c r="T104" s="1" t="s">
        <v>1164</v>
      </c>
      <c r="U104" s="1" t="s">
        <v>72</v>
      </c>
      <c r="V104" s="1" t="s">
        <v>1224</v>
      </c>
      <c r="W104" s="28" t="s">
        <v>876</v>
      </c>
      <c r="X104" s="1"/>
      <c r="Y104" s="1" t="s">
        <v>72</v>
      </c>
      <c r="Z104" s="1" t="s">
        <v>1225</v>
      </c>
      <c r="AA104" s="28" t="s">
        <v>1083</v>
      </c>
      <c r="AB104" s="1"/>
      <c r="AC104" s="1" t="s">
        <v>72</v>
      </c>
      <c r="AD104" s="1" t="s">
        <v>1226</v>
      </c>
      <c r="AE104" s="1" t="s">
        <v>1227</v>
      </c>
      <c r="AF104" s="1" t="s">
        <v>1228</v>
      </c>
      <c r="AG104" s="1" t="s">
        <v>1229</v>
      </c>
      <c r="AH104" s="1" t="s">
        <v>931</v>
      </c>
    </row>
    <row r="105" spans="1:34" ht="68.25" customHeight="1">
      <c r="A105" s="2" t="s">
        <v>43</v>
      </c>
      <c r="B105" s="2" t="s">
        <v>1068</v>
      </c>
      <c r="C105" s="2" t="s">
        <v>1152</v>
      </c>
      <c r="D105" s="2" t="s">
        <v>1230</v>
      </c>
      <c r="E105" s="2" t="s">
        <v>1231</v>
      </c>
      <c r="F105" s="2" t="s">
        <v>1232</v>
      </c>
      <c r="G105" s="28" t="s">
        <v>1156</v>
      </c>
      <c r="H105" s="2" t="s">
        <v>1157</v>
      </c>
      <c r="I105" s="2" t="s">
        <v>72</v>
      </c>
      <c r="J105" s="2" t="s">
        <v>1233</v>
      </c>
      <c r="K105" s="2" t="s">
        <v>1159</v>
      </c>
      <c r="L105" s="2" t="s">
        <v>396</v>
      </c>
      <c r="M105" s="2" t="s">
        <v>1161</v>
      </c>
      <c r="N105" s="2" t="s">
        <v>396</v>
      </c>
      <c r="O105" s="28" t="s">
        <v>1234</v>
      </c>
      <c r="P105" s="2"/>
      <c r="Q105" s="2" t="s">
        <v>72</v>
      </c>
      <c r="R105" s="2" t="s">
        <v>1235</v>
      </c>
      <c r="S105" s="28" t="s">
        <v>920</v>
      </c>
      <c r="T105" s="2" t="s">
        <v>1164</v>
      </c>
      <c r="U105" s="2" t="s">
        <v>72</v>
      </c>
      <c r="V105" s="2" t="s">
        <v>1236</v>
      </c>
      <c r="W105" s="28" t="s">
        <v>876</v>
      </c>
      <c r="X105" s="2"/>
      <c r="Y105" s="2" t="s">
        <v>72</v>
      </c>
      <c r="Z105" s="2" t="s">
        <v>1237</v>
      </c>
      <c r="AA105" s="28" t="s">
        <v>1083</v>
      </c>
      <c r="AB105" s="2"/>
      <c r="AC105" s="2" t="s">
        <v>72</v>
      </c>
      <c r="AD105" s="2" t="s">
        <v>1238</v>
      </c>
      <c r="AE105" s="2" t="s">
        <v>1239</v>
      </c>
      <c r="AF105" s="2" t="s">
        <v>1240</v>
      </c>
      <c r="AG105" s="2" t="s">
        <v>1241</v>
      </c>
      <c r="AH105" s="2" t="s">
        <v>931</v>
      </c>
    </row>
    <row r="106" spans="1:34" ht="45" customHeight="1">
      <c r="A106" s="1" t="s">
        <v>43</v>
      </c>
      <c r="B106" s="1" t="s">
        <v>1068</v>
      </c>
      <c r="C106" s="1" t="s">
        <v>1152</v>
      </c>
      <c r="D106" s="1" t="s">
        <v>1242</v>
      </c>
      <c r="E106" s="1" t="s">
        <v>1243</v>
      </c>
      <c r="F106" s="1" t="s">
        <v>1244</v>
      </c>
      <c r="G106" s="29" t="s">
        <v>1156</v>
      </c>
      <c r="H106" s="1" t="s">
        <v>1157</v>
      </c>
      <c r="I106" s="1" t="s">
        <v>72</v>
      </c>
      <c r="J106" s="1" t="s">
        <v>1245</v>
      </c>
      <c r="K106" s="2" t="s">
        <v>1159</v>
      </c>
      <c r="L106" s="1" t="s">
        <v>396</v>
      </c>
      <c r="M106" s="1" t="s">
        <v>1161</v>
      </c>
      <c r="N106" s="1" t="s">
        <v>396</v>
      </c>
      <c r="O106" s="29" t="s">
        <v>1246</v>
      </c>
      <c r="P106" s="1"/>
      <c r="Q106" s="1" t="s">
        <v>72</v>
      </c>
      <c r="R106" s="1" t="s">
        <v>1247</v>
      </c>
      <c r="S106" s="28" t="s">
        <v>920</v>
      </c>
      <c r="T106" s="1" t="s">
        <v>1164</v>
      </c>
      <c r="U106" s="1" t="s">
        <v>72</v>
      </c>
      <c r="V106" s="1" t="s">
        <v>1248</v>
      </c>
      <c r="W106" s="28" t="s">
        <v>876</v>
      </c>
      <c r="X106" s="1"/>
      <c r="Y106" s="1" t="s">
        <v>72</v>
      </c>
      <c r="Z106" s="1" t="s">
        <v>1249</v>
      </c>
      <c r="AA106" s="28" t="s">
        <v>1083</v>
      </c>
      <c r="AB106" s="1"/>
      <c r="AC106" s="1" t="s">
        <v>72</v>
      </c>
      <c r="AD106" s="1" t="s">
        <v>1250</v>
      </c>
      <c r="AE106" s="1" t="s">
        <v>1251</v>
      </c>
      <c r="AF106" s="1" t="s">
        <v>1252</v>
      </c>
      <c r="AG106" s="1" t="s">
        <v>1253</v>
      </c>
      <c r="AH106" s="1" t="s">
        <v>931</v>
      </c>
    </row>
    <row r="107" spans="1:34" ht="45" customHeight="1">
      <c r="A107" s="2" t="s">
        <v>43</v>
      </c>
      <c r="B107" s="2" t="s">
        <v>1068</v>
      </c>
      <c r="C107" s="2" t="s">
        <v>1152</v>
      </c>
      <c r="D107" s="2" t="s">
        <v>1254</v>
      </c>
      <c r="E107" s="2" t="s">
        <v>1255</v>
      </c>
      <c r="F107" s="2" t="s">
        <v>1256</v>
      </c>
      <c r="G107" s="28" t="s">
        <v>1156</v>
      </c>
      <c r="H107" s="2" t="s">
        <v>1157</v>
      </c>
      <c r="I107" s="2" t="s">
        <v>72</v>
      </c>
      <c r="J107" s="2" t="s">
        <v>1257</v>
      </c>
      <c r="K107" s="2" t="s">
        <v>1159</v>
      </c>
      <c r="L107" s="2" t="s">
        <v>1160</v>
      </c>
      <c r="M107" s="2" t="s">
        <v>1161</v>
      </c>
      <c r="N107" s="2" t="s">
        <v>1160</v>
      </c>
      <c r="O107" s="28" t="s">
        <v>1258</v>
      </c>
      <c r="P107" s="2"/>
      <c r="Q107" s="2" t="s">
        <v>72</v>
      </c>
      <c r="R107" s="2" t="s">
        <v>1259</v>
      </c>
      <c r="S107" s="28" t="s">
        <v>920</v>
      </c>
      <c r="T107" s="2" t="s">
        <v>1164</v>
      </c>
      <c r="U107" s="2" t="s">
        <v>72</v>
      </c>
      <c r="V107" s="2" t="s">
        <v>1260</v>
      </c>
      <c r="W107" s="28" t="s">
        <v>876</v>
      </c>
      <c r="X107" s="2"/>
      <c r="Y107" s="2" t="s">
        <v>72</v>
      </c>
      <c r="Z107" s="2" t="s">
        <v>1261</v>
      </c>
      <c r="AA107" s="28" t="s">
        <v>1083</v>
      </c>
      <c r="AB107" s="2"/>
      <c r="AC107" s="2" t="s">
        <v>72</v>
      </c>
      <c r="AD107" s="2" t="s">
        <v>1262</v>
      </c>
      <c r="AE107" s="2" t="s">
        <v>1263</v>
      </c>
      <c r="AF107" s="2" t="s">
        <v>1264</v>
      </c>
      <c r="AG107" s="2" t="s">
        <v>1265</v>
      </c>
      <c r="AH107" s="2" t="s">
        <v>931</v>
      </c>
    </row>
    <row r="108" spans="1:34" ht="72.75" customHeight="1">
      <c r="A108" s="1" t="s">
        <v>43</v>
      </c>
      <c r="B108" s="1" t="s">
        <v>1068</v>
      </c>
      <c r="C108" s="1" t="s">
        <v>1152</v>
      </c>
      <c r="D108" s="1" t="s">
        <v>1266</v>
      </c>
      <c r="E108" s="1" t="s">
        <v>1267</v>
      </c>
      <c r="F108" s="1" t="s">
        <v>1268</v>
      </c>
      <c r="G108" s="29" t="s">
        <v>1156</v>
      </c>
      <c r="H108" s="1" t="s">
        <v>1157</v>
      </c>
      <c r="I108" s="1" t="s">
        <v>72</v>
      </c>
      <c r="J108" s="1" t="s">
        <v>1269</v>
      </c>
      <c r="K108" s="2" t="s">
        <v>1159</v>
      </c>
      <c r="L108" s="1" t="s">
        <v>1160</v>
      </c>
      <c r="M108" s="1" t="s">
        <v>1161</v>
      </c>
      <c r="N108" s="1" t="s">
        <v>1160</v>
      </c>
      <c r="O108" s="29" t="s">
        <v>1270</v>
      </c>
      <c r="P108" s="1"/>
      <c r="Q108" s="1" t="s">
        <v>72</v>
      </c>
      <c r="R108" s="1" t="s">
        <v>1271</v>
      </c>
      <c r="S108" s="28" t="s">
        <v>920</v>
      </c>
      <c r="T108" s="1" t="s">
        <v>1164</v>
      </c>
      <c r="U108" s="1" t="s">
        <v>72</v>
      </c>
      <c r="V108" s="1" t="s">
        <v>1272</v>
      </c>
      <c r="W108" s="28" t="s">
        <v>876</v>
      </c>
      <c r="X108" s="1"/>
      <c r="Y108" s="1" t="s">
        <v>72</v>
      </c>
      <c r="Z108" s="1" t="s">
        <v>1273</v>
      </c>
      <c r="AA108" s="28" t="s">
        <v>1083</v>
      </c>
      <c r="AB108" s="1"/>
      <c r="AC108" s="1" t="s">
        <v>72</v>
      </c>
      <c r="AD108" s="1" t="s">
        <v>1274</v>
      </c>
      <c r="AE108" s="1" t="s">
        <v>1275</v>
      </c>
      <c r="AF108" s="1" t="s">
        <v>1276</v>
      </c>
      <c r="AG108" s="1" t="s">
        <v>1277</v>
      </c>
      <c r="AH108" s="1" t="s">
        <v>931</v>
      </c>
    </row>
    <row r="109" spans="1:34" ht="20.100000000000001" customHeight="1">
      <c r="A109" s="3" t="s">
        <v>1278</v>
      </c>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row>
    <row r="110" spans="1:34" ht="45" customHeight="1">
      <c r="A110" s="2" t="s">
        <v>43</v>
      </c>
      <c r="B110" s="2" t="s">
        <v>1279</v>
      </c>
      <c r="C110" s="2" t="s">
        <v>1280</v>
      </c>
      <c r="D110" s="2" t="s">
        <v>273</v>
      </c>
      <c r="E110" s="2" t="s">
        <v>1281</v>
      </c>
      <c r="F110" s="2" t="s">
        <v>1282</v>
      </c>
      <c r="G110" s="28" t="s">
        <v>1142</v>
      </c>
      <c r="H110" s="2" t="s">
        <v>1283</v>
      </c>
      <c r="I110" s="2" t="s">
        <v>79</v>
      </c>
      <c r="J110" s="2" t="s">
        <v>1284</v>
      </c>
      <c r="K110" s="2" t="s">
        <v>1142</v>
      </c>
      <c r="L110" s="2" t="s">
        <v>1285</v>
      </c>
      <c r="M110" s="2" t="s">
        <v>1142</v>
      </c>
      <c r="N110" s="2" t="s">
        <v>1285</v>
      </c>
      <c r="O110" s="2" t="s">
        <v>1286</v>
      </c>
      <c r="P110" s="2"/>
      <c r="Q110" s="2" t="s">
        <v>72</v>
      </c>
      <c r="R110" s="2" t="s">
        <v>1287</v>
      </c>
      <c r="S110" s="28" t="s">
        <v>1142</v>
      </c>
      <c r="T110" s="2" t="s">
        <v>1288</v>
      </c>
      <c r="U110" s="2" t="s">
        <v>72</v>
      </c>
      <c r="V110" s="2" t="s">
        <v>1289</v>
      </c>
      <c r="W110" s="28" t="s">
        <v>1142</v>
      </c>
      <c r="X110" s="2"/>
      <c r="Y110" s="2" t="s">
        <v>72</v>
      </c>
      <c r="Z110" s="2" t="s">
        <v>1289</v>
      </c>
      <c r="AA110" s="28" t="s">
        <v>1142</v>
      </c>
      <c r="AB110" s="2"/>
      <c r="AC110" s="2" t="s">
        <v>72</v>
      </c>
      <c r="AD110" s="2" t="s">
        <v>1289</v>
      </c>
      <c r="AE110" s="2" t="s">
        <v>1290</v>
      </c>
      <c r="AF110" s="2" t="s">
        <v>1291</v>
      </c>
      <c r="AG110" s="2" t="s">
        <v>1292</v>
      </c>
      <c r="AH110" s="2" t="s">
        <v>236</v>
      </c>
    </row>
    <row r="111" spans="1:34" ht="45" customHeight="1">
      <c r="A111" s="1" t="s">
        <v>43</v>
      </c>
      <c r="B111" s="1" t="s">
        <v>1279</v>
      </c>
      <c r="C111" s="1" t="s">
        <v>1280</v>
      </c>
      <c r="D111" s="1" t="s">
        <v>1293</v>
      </c>
      <c r="E111" s="1" t="s">
        <v>1294</v>
      </c>
      <c r="F111" s="1" t="s">
        <v>1295</v>
      </c>
      <c r="G111" s="29" t="s">
        <v>1142</v>
      </c>
      <c r="H111" s="1" t="s">
        <v>1283</v>
      </c>
      <c r="I111" s="1" t="s">
        <v>72</v>
      </c>
      <c r="J111" s="1" t="s">
        <v>1296</v>
      </c>
      <c r="K111" s="1" t="s">
        <v>1142</v>
      </c>
      <c r="L111" s="1" t="s">
        <v>1285</v>
      </c>
      <c r="M111" s="1" t="s">
        <v>1142</v>
      </c>
      <c r="N111" s="1" t="s">
        <v>1285</v>
      </c>
      <c r="O111" s="1" t="s">
        <v>1297</v>
      </c>
      <c r="P111" s="1"/>
      <c r="Q111" s="1" t="s">
        <v>72</v>
      </c>
      <c r="R111" s="1" t="s">
        <v>1298</v>
      </c>
      <c r="S111" s="28" t="s">
        <v>1142</v>
      </c>
      <c r="T111" s="1" t="s">
        <v>1288</v>
      </c>
      <c r="U111" s="1" t="s">
        <v>79</v>
      </c>
      <c r="V111" s="1" t="s">
        <v>1299</v>
      </c>
      <c r="W111" s="28" t="s">
        <v>1142</v>
      </c>
      <c r="X111" s="1"/>
      <c r="Y111" s="1" t="s">
        <v>79</v>
      </c>
      <c r="Z111" s="1" t="s">
        <v>1299</v>
      </c>
      <c r="AA111" s="29" t="s">
        <v>1142</v>
      </c>
      <c r="AB111" s="1"/>
      <c r="AC111" s="1" t="s">
        <v>79</v>
      </c>
      <c r="AD111" s="1" t="s">
        <v>1299</v>
      </c>
      <c r="AE111" s="1" t="s">
        <v>1300</v>
      </c>
      <c r="AF111" s="1" t="s">
        <v>1301</v>
      </c>
      <c r="AG111" s="1" t="s">
        <v>1302</v>
      </c>
      <c r="AH111" s="1" t="s">
        <v>236</v>
      </c>
    </row>
    <row r="112" spans="1:34" ht="79.5" customHeight="1">
      <c r="A112" s="2" t="s">
        <v>43</v>
      </c>
      <c r="B112" s="2" t="s">
        <v>1279</v>
      </c>
      <c r="C112" s="2" t="s">
        <v>1280</v>
      </c>
      <c r="D112" s="2" t="s">
        <v>1303</v>
      </c>
      <c r="E112" s="2" t="s">
        <v>1304</v>
      </c>
      <c r="F112" s="2" t="s">
        <v>1305</v>
      </c>
      <c r="G112" s="28" t="s">
        <v>1142</v>
      </c>
      <c r="H112" s="2" t="s">
        <v>1283</v>
      </c>
      <c r="I112" s="2" t="s">
        <v>72</v>
      </c>
      <c r="J112" s="2" t="s">
        <v>1306</v>
      </c>
      <c r="K112" s="2" t="s">
        <v>1142</v>
      </c>
      <c r="L112" s="2" t="s">
        <v>1285</v>
      </c>
      <c r="M112" s="2" t="s">
        <v>1142</v>
      </c>
      <c r="N112" s="2" t="s">
        <v>1285</v>
      </c>
      <c r="O112" s="2" t="s">
        <v>1307</v>
      </c>
      <c r="P112" s="2"/>
      <c r="Q112" s="2" t="s">
        <v>72</v>
      </c>
      <c r="R112" s="2" t="s">
        <v>1308</v>
      </c>
      <c r="S112" s="28" t="s">
        <v>1142</v>
      </c>
      <c r="T112" s="2" t="s">
        <v>1288</v>
      </c>
      <c r="U112" s="2" t="s">
        <v>72</v>
      </c>
      <c r="V112" s="2" t="s">
        <v>1309</v>
      </c>
      <c r="W112" s="28" t="s">
        <v>1142</v>
      </c>
      <c r="X112" s="2"/>
      <c r="Y112" s="2" t="s">
        <v>72</v>
      </c>
      <c r="Z112" s="2" t="s">
        <v>1309</v>
      </c>
      <c r="AA112" s="28" t="s">
        <v>1142</v>
      </c>
      <c r="AB112" s="2"/>
      <c r="AC112" s="2" t="s">
        <v>72</v>
      </c>
      <c r="AD112" s="2" t="s">
        <v>1309</v>
      </c>
      <c r="AE112" s="2" t="s">
        <v>1310</v>
      </c>
      <c r="AF112" s="2" t="s">
        <v>1311</v>
      </c>
      <c r="AG112" s="2" t="s">
        <v>1312</v>
      </c>
      <c r="AH112" s="2" t="s">
        <v>236</v>
      </c>
    </row>
    <row r="113" spans="1:34" ht="45" customHeight="1">
      <c r="A113" s="1" t="s">
        <v>43</v>
      </c>
      <c r="B113" s="1" t="s">
        <v>1279</v>
      </c>
      <c r="C113" s="1" t="s">
        <v>1280</v>
      </c>
      <c r="D113" s="1" t="s">
        <v>1313</v>
      </c>
      <c r="E113" s="1" t="s">
        <v>1314</v>
      </c>
      <c r="F113" s="1" t="s">
        <v>1315</v>
      </c>
      <c r="G113" s="29" t="s">
        <v>1142</v>
      </c>
      <c r="H113" s="1" t="s">
        <v>1283</v>
      </c>
      <c r="I113" s="1" t="s">
        <v>79</v>
      </c>
      <c r="J113" s="1" t="s">
        <v>1316</v>
      </c>
      <c r="K113" s="1" t="s">
        <v>1142</v>
      </c>
      <c r="L113" s="1" t="s">
        <v>1285</v>
      </c>
      <c r="M113" s="1" t="s">
        <v>1142</v>
      </c>
      <c r="N113" s="1" t="s">
        <v>1285</v>
      </c>
      <c r="O113" s="1" t="s">
        <v>1317</v>
      </c>
      <c r="P113" s="1"/>
      <c r="Q113" s="1" t="s">
        <v>72</v>
      </c>
      <c r="R113" s="1" t="s">
        <v>1318</v>
      </c>
      <c r="S113" s="28" t="s">
        <v>1142</v>
      </c>
      <c r="T113" s="1" t="s">
        <v>1288</v>
      </c>
      <c r="U113" s="1" t="s">
        <v>72</v>
      </c>
      <c r="V113" s="1" t="s">
        <v>1319</v>
      </c>
      <c r="W113" s="28" t="s">
        <v>1142</v>
      </c>
      <c r="X113" s="1"/>
      <c r="Y113" s="1" t="s">
        <v>72</v>
      </c>
      <c r="Z113" s="1" t="s">
        <v>1319</v>
      </c>
      <c r="AA113" s="29" t="s">
        <v>1142</v>
      </c>
      <c r="AB113" s="1"/>
      <c r="AC113" s="1" t="s">
        <v>72</v>
      </c>
      <c r="AD113" s="1" t="s">
        <v>1319</v>
      </c>
      <c r="AE113" s="1" t="s">
        <v>1320</v>
      </c>
      <c r="AF113" s="1" t="s">
        <v>1321</v>
      </c>
      <c r="AG113" s="1" t="s">
        <v>1322</v>
      </c>
      <c r="AH113" s="1" t="s">
        <v>236</v>
      </c>
    </row>
    <row r="114" spans="1:34" ht="45" customHeight="1">
      <c r="A114" s="2" t="s">
        <v>43</v>
      </c>
      <c r="B114" s="2" t="s">
        <v>1279</v>
      </c>
      <c r="C114" s="2" t="s">
        <v>1280</v>
      </c>
      <c r="D114" s="2" t="s">
        <v>1031</v>
      </c>
      <c r="E114" s="2" t="s">
        <v>1323</v>
      </c>
      <c r="F114" s="2" t="s">
        <v>1324</v>
      </c>
      <c r="G114" s="28" t="s">
        <v>1142</v>
      </c>
      <c r="H114" s="2" t="s">
        <v>1283</v>
      </c>
      <c r="I114" s="2" t="s">
        <v>72</v>
      </c>
      <c r="J114" s="2" t="s">
        <v>1325</v>
      </c>
      <c r="K114" s="2" t="s">
        <v>1142</v>
      </c>
      <c r="L114" s="2" t="s">
        <v>1285</v>
      </c>
      <c r="M114" s="2" t="s">
        <v>1142</v>
      </c>
      <c r="N114" s="2" t="s">
        <v>1285</v>
      </c>
      <c r="O114" s="2" t="s">
        <v>1326</v>
      </c>
      <c r="P114" s="2"/>
      <c r="Q114" s="2" t="s">
        <v>72</v>
      </c>
      <c r="R114" s="2" t="s">
        <v>1327</v>
      </c>
      <c r="S114" s="28" t="s">
        <v>1142</v>
      </c>
      <c r="T114" s="2" t="s">
        <v>1288</v>
      </c>
      <c r="U114" s="2" t="s">
        <v>72</v>
      </c>
      <c r="V114" s="2" t="s">
        <v>1328</v>
      </c>
      <c r="W114" s="28" t="s">
        <v>1142</v>
      </c>
      <c r="X114" s="2"/>
      <c r="Y114" s="2" t="s">
        <v>72</v>
      </c>
      <c r="Z114" s="2" t="s">
        <v>1328</v>
      </c>
      <c r="AA114" s="28" t="s">
        <v>1142</v>
      </c>
      <c r="AB114" s="2"/>
      <c r="AC114" s="2" t="s">
        <v>72</v>
      </c>
      <c r="AD114" s="2" t="s">
        <v>1329</v>
      </c>
      <c r="AE114" s="2" t="s">
        <v>1330</v>
      </c>
      <c r="AF114" s="2" t="s">
        <v>1331</v>
      </c>
      <c r="AG114" s="2" t="s">
        <v>1332</v>
      </c>
      <c r="AH114" s="2" t="s">
        <v>236</v>
      </c>
    </row>
  </sheetData>
  <autoFilter ref="A1:AH114" xr:uid="{00000000-0001-0000-01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30">
    <mergeCell ref="AA3:AB3"/>
    <mergeCell ref="A1:AH1"/>
    <mergeCell ref="M3:N3"/>
    <mergeCell ref="A2:AH2"/>
    <mergeCell ref="I3:I4"/>
    <mergeCell ref="J3:J4"/>
    <mergeCell ref="Q3:Q4"/>
    <mergeCell ref="R3:R4"/>
    <mergeCell ref="Z3:Z4"/>
    <mergeCell ref="Y3:Y4"/>
    <mergeCell ref="AC3:AC4"/>
    <mergeCell ref="AD3:AD4"/>
    <mergeCell ref="U3:U4"/>
    <mergeCell ref="V3:V4"/>
    <mergeCell ref="A5:AH5"/>
    <mergeCell ref="G3:H3"/>
    <mergeCell ref="K3:L3"/>
    <mergeCell ref="O3:P3"/>
    <mergeCell ref="C3:C4"/>
    <mergeCell ref="E3:E4"/>
    <mergeCell ref="AF3:AF4"/>
    <mergeCell ref="A3:A4"/>
    <mergeCell ref="D3:D4"/>
    <mergeCell ref="AE3:AE4"/>
    <mergeCell ref="AG3:AG4"/>
    <mergeCell ref="S3:T3"/>
    <mergeCell ref="W3:X3"/>
    <mergeCell ref="B3:B4"/>
    <mergeCell ref="F3:F4"/>
    <mergeCell ref="AH3:AH4"/>
  </mergeCells>
  <hyperlinks>
    <hyperlink ref="S6" r:id="rId1" xr:uid="{FABD1FE6-7D1E-4F35-BE3B-9A877CBD93B5}"/>
    <hyperlink ref="S7:S11" r:id="rId2" display="lizard" xr:uid="{039407F1-272F-4662-9FA8-75F5C6069220}"/>
    <hyperlink ref="S12" r:id="rId3" xr:uid="{78A39DA4-D69A-45F5-98B2-AEB6C2E15144}"/>
    <hyperlink ref="S13:S18" r:id="rId4" display="Roslyn" xr:uid="{CEFAD418-2DA3-4BD8-B669-E541C49B5D17}"/>
    <hyperlink ref="S20" r:id="rId5" xr:uid="{7D566025-BF5D-49DF-8097-258D8EF753DD}"/>
    <hyperlink ref="S21:S26" r:id="rId6" display="jscpd" xr:uid="{B1B4582B-B784-423B-93CA-82466E3DC1E7}"/>
    <hyperlink ref="S27" r:id="rId7" xr:uid="{A3F1F746-9C81-4D63-80F1-A8F8C011B307}"/>
    <hyperlink ref="S28:S38" r:id="rId8" display="roslyn sast" xr:uid="{0F3131C3-0122-4E7E-900E-4018A9110BFA}"/>
    <hyperlink ref="S40" r:id="rId9" xr:uid="{6BD4260A-27DD-40EF-A47D-839CF19E59CF}"/>
    <hyperlink ref="S41:S46" r:id="rId10" display="Semgrep" xr:uid="{746C79AD-6730-4F7F-BDDE-0BEA19A73493}"/>
    <hyperlink ref="S56" r:id="rId11" xr:uid="{52FDFE35-907F-4808-8242-264FB86D871B}"/>
    <hyperlink ref="S57:S67" r:id="rId12" display="Coverlet" xr:uid="{C0F32A9F-712A-48C9-9129-907BB8317BD3}"/>
    <hyperlink ref="S68" r:id="rId13" xr:uid="{01B38BB5-9D1C-40BD-8C8A-98A088EE672D}"/>
    <hyperlink ref="S69" r:id="rId14" xr:uid="{34B33768-1E5D-491E-8AE9-50A5FD103FBE}"/>
    <hyperlink ref="S70:S77" r:id="rId15" display="altcover" xr:uid="{F75E2300-7E51-46BE-9EE3-340A9E9758AE}"/>
    <hyperlink ref="S79" r:id="rId16" xr:uid="{B72347AA-C9F7-45C2-8DD5-1D18D45E8382}"/>
    <hyperlink ref="S80:S85" r:id="rId17" display="Stryker.NET" xr:uid="{312118DF-EE81-4171-B957-3EE827F90B4B}"/>
    <hyperlink ref="S86" r:id="rId18" xr:uid="{EBB013E1-18BA-4581-83F6-41AC61593A64}"/>
    <hyperlink ref="S87:S91" r:id="rId19" display="Coverlet" xr:uid="{40388027-9792-499C-BCF8-88DE43ADF8BA}"/>
    <hyperlink ref="S93" r:id="rId20" xr:uid="{CC18D9B3-D82A-4BC3-927E-6095EC33A7AD}"/>
    <hyperlink ref="S94:S108" r:id="rId21" display="Stryker.NET" xr:uid="{E1C86B6B-5448-4E06-ADCC-2EC28BC81BA2}"/>
    <hyperlink ref="S110" r:id="rId22" xr:uid="{68CDF4D7-0013-40EA-9FDA-B34689CD21C7}"/>
    <hyperlink ref="S111:S114" r:id="rId23" display="pydriller" xr:uid="{AA9332AE-FCE6-4531-BABB-5C1448C59F5B}"/>
    <hyperlink ref="W6" r:id="rId24" xr:uid="{76ECAA71-3229-478D-93AC-CF1F169D46CC}"/>
    <hyperlink ref="W7" r:id="rId25" xr:uid="{4511CF74-87F0-432C-8D75-73297E12D5D3}"/>
    <hyperlink ref="W8:W9" r:id="rId26" display="Lizard" xr:uid="{D7B7F693-7D87-4A99-A6CE-28312C9DE8CA}"/>
    <hyperlink ref="W10" r:id="rId27" xr:uid="{7B400E12-1860-4FDF-92AE-34032CB33160}"/>
    <hyperlink ref="W11" r:id="rId28" xr:uid="{B7B2D1A3-6E48-42F8-9EF4-EFB51338B3AF}"/>
    <hyperlink ref="W12" r:id="rId29" xr:uid="{90B3C0AC-79B9-448D-A206-8B13B65B7050}"/>
    <hyperlink ref="W13" r:id="rId30" xr:uid="{FFC57144-F6FE-47CC-B08F-11AE40A69529}"/>
    <hyperlink ref="W14" r:id="rId31" xr:uid="{EB6662A7-5F3E-4069-BEA0-207554C5117B}"/>
    <hyperlink ref="W15" r:id="rId32" xr:uid="{85123D89-E431-4589-837C-4835F6B71F1B}"/>
    <hyperlink ref="W16" r:id="rId33" xr:uid="{15EC9B43-1E72-4539-9B80-E9DE707618C3}"/>
    <hyperlink ref="W17" r:id="rId34" xr:uid="{1FEA47DC-E6D0-49EB-AC7B-0D54BC694A47}"/>
    <hyperlink ref="W18" r:id="rId35" xr:uid="{A77E2C7A-7682-4361-95B8-13C7DD45072A}"/>
    <hyperlink ref="W20" r:id="rId36" xr:uid="{30B4CA85-065D-474B-8E0E-DFD5CC0384AC}"/>
    <hyperlink ref="W21:W22" r:id="rId37" display="jscpd" xr:uid="{D742A436-17A8-412C-A4F5-4098221EC7BD}"/>
    <hyperlink ref="W23" r:id="rId38" xr:uid="{D379D348-C0AC-48FD-A270-8C017A05D651}"/>
    <hyperlink ref="W24:W25" r:id="rId39" display="jscpd" xr:uid="{5F5BC20B-B2AA-4932-AC42-707C28B427F2}"/>
    <hyperlink ref="O6" r:id="rId40" xr:uid="{43265E53-53F3-482D-BCE1-CC811DD024AF}"/>
    <hyperlink ref="W26" r:id="rId41" xr:uid="{87DC041A-5B18-4B50-9AEF-6CA9B750A688}"/>
    <hyperlink ref="W27" r:id="rId42" xr:uid="{7153CF85-2367-4585-886B-CD4E8EE93E9C}"/>
    <hyperlink ref="W28" r:id="rId43" xr:uid="{2F4938C0-0AF0-4602-932D-199CDA87A2E1}"/>
    <hyperlink ref="W29" r:id="rId44" xr:uid="{558D23AF-FC3D-46DC-82B2-6A136F3F404C}"/>
    <hyperlink ref="W30" r:id="rId45" xr:uid="{F72FF56D-37FC-410B-8218-BBB0361DF1E4}"/>
    <hyperlink ref="W31" r:id="rId46" xr:uid="{ED526A1B-0751-4CB0-B507-1A5A6586121B}"/>
    <hyperlink ref="W32" r:id="rId47" xr:uid="{29291817-2632-4C6D-8DDB-0B737034042E}"/>
    <hyperlink ref="W33" r:id="rId48" xr:uid="{436EFBD5-627C-4DE8-9907-E24AFF8D7D87}"/>
    <hyperlink ref="W34" r:id="rId49" xr:uid="{685887C2-0E1E-4865-BD54-BF841B087F62}"/>
    <hyperlink ref="W36" r:id="rId50" xr:uid="{FC069131-AF6D-474E-A93C-312C88CF075B}"/>
    <hyperlink ref="W37:W38" r:id="rId51" display="eslint" xr:uid="{BEC9537E-5F19-4CA6-96DA-880E91F36BEF}"/>
    <hyperlink ref="W40" r:id="rId52" xr:uid="{60903DFC-E12B-4ABC-B08F-832878B5D844}"/>
    <hyperlink ref="W41" r:id="rId53" xr:uid="{C727F6B6-0B3D-470B-AA0F-EC830CA4623E}"/>
    <hyperlink ref="W42:W43" r:id="rId54" display="eslint-plugin-security" xr:uid="{C361C8D7-1147-4BB5-8D85-41AD6152FFDA}"/>
    <hyperlink ref="W44" r:id="rId55" xr:uid="{767F6BC0-7EDE-45AA-9420-8924ABB34B11}"/>
    <hyperlink ref="W45" r:id="rId56" xr:uid="{05AE8E1E-F9FF-4C60-B4A0-22023A51D33A}"/>
    <hyperlink ref="W46" r:id="rId57" xr:uid="{A6343BAC-2EB3-4B3C-8A22-83B6518301FB}"/>
    <hyperlink ref="W47" r:id="rId58" xr:uid="{E9C67F06-08D1-45FC-85F1-9EBD6BEB6BAD}"/>
    <hyperlink ref="O7" r:id="rId59" xr:uid="{CE09524C-2752-4BD5-BAA7-964D222576AA}"/>
    <hyperlink ref="O8" r:id="rId60" xr:uid="{A2431592-B0F4-4A27-9319-0CC7BD8A0AAD}"/>
    <hyperlink ref="O9" r:id="rId61" xr:uid="{25E26B7D-C9B0-453D-982F-2B1EDBF34A4B}"/>
    <hyperlink ref="O10" r:id="rId62" xr:uid="{9529617A-1293-408B-9E85-DE1A0821DFB8}"/>
    <hyperlink ref="O11" r:id="rId63" xr:uid="{5DE9AEAB-3755-44EB-B48F-1E289E237D9D}"/>
    <hyperlink ref="W49" r:id="rId64" xr:uid="{F16E759E-7539-4F3B-8B30-2241D6144E7A}"/>
    <hyperlink ref="W50" r:id="rId65" xr:uid="{E88388CC-83B6-4DA2-B63E-9C1933EAAD6A}"/>
    <hyperlink ref="W51" r:id="rId66" xr:uid="{8ACF090C-4E92-4E96-8020-6FC870950A74}"/>
    <hyperlink ref="W52" r:id="rId67" xr:uid="{DA6CCFEA-685E-4E41-9682-1EB1F7DDEF1B}"/>
    <hyperlink ref="O12" r:id="rId68" xr:uid="{3A245FC9-DCC4-4A2C-89F1-4D258C6F9134}"/>
    <hyperlink ref="W53" r:id="rId69" xr:uid="{240A849F-A81A-4E8A-9CAE-9FDEC8DD45D5}"/>
    <hyperlink ref="O13" r:id="rId70" xr:uid="{7E6BDAAF-62DE-43A6-9076-CB2B603D58FA}"/>
    <hyperlink ref="O14" r:id="rId71" xr:uid="{B1208B40-6DA2-4390-BAD8-99154DDA02E8}"/>
    <hyperlink ref="O15" r:id="rId72" xr:uid="{9754AF0F-7FD5-4792-92E7-1C3BC724BDFA}"/>
    <hyperlink ref="O16" r:id="rId73" xr:uid="{92E3C104-E032-4EB9-A587-01F231EE32B9}"/>
    <hyperlink ref="O17" r:id="rId74" xr:uid="{2622C255-4F12-407E-81A1-AB3108FB0AB0}"/>
    <hyperlink ref="O18" r:id="rId75" xr:uid="{53145C0D-C58F-4A64-8FFA-50C1FD02C847}"/>
    <hyperlink ref="O20" r:id="rId76" xr:uid="{0A5EF948-E72C-4CE2-B647-C6CF14F259F0}"/>
    <hyperlink ref="O21" r:id="rId77" xr:uid="{39D0D443-B053-49B4-9BBC-DD6CCD088459}"/>
    <hyperlink ref="O22" r:id="rId78" xr:uid="{B615EACA-C1F4-472C-A9E3-0453BAA8DFC5}"/>
    <hyperlink ref="O23" r:id="rId79" xr:uid="{F15451BC-ACE4-49CE-A708-5B9B8050DD3F}"/>
    <hyperlink ref="O24" r:id="rId80" xr:uid="{19E4B708-FA32-465C-A56E-FF06EB32B5B6}"/>
    <hyperlink ref="O25" r:id="rId81" xr:uid="{BAD61552-994D-4FAF-8B04-A40F9CA058F5}"/>
    <hyperlink ref="O26" r:id="rId82" xr:uid="{A59CFAD9-A6F0-4EFC-8147-8272254402ED}"/>
    <hyperlink ref="O27" r:id="rId83" xr:uid="{A854FFC9-E6BD-4C9C-B716-6F62A2711957}"/>
    <hyperlink ref="O28" r:id="rId84" xr:uid="{2066BE47-88C4-4A4D-A9EC-B920D8B46FDE}"/>
    <hyperlink ref="O29" r:id="rId85" xr:uid="{4DD4E3E5-F9E4-49A5-A3EF-AF960B0806EB}"/>
    <hyperlink ref="O30" r:id="rId86" xr:uid="{EA9A7800-F24D-4012-A080-9CBB1CE3C041}"/>
    <hyperlink ref="O31" r:id="rId87" xr:uid="{ECEC18F1-8816-4C0B-A260-F2978774F5C1}"/>
    <hyperlink ref="O32" r:id="rId88" xr:uid="{E938C74F-76F6-4793-9C75-EFB4205CF97D}"/>
    <hyperlink ref="O33" r:id="rId89" xr:uid="{432070D8-086F-4CCF-8A69-01758529E93F}"/>
    <hyperlink ref="O34" r:id="rId90" xr:uid="{DEB6A021-D7ED-48AF-9EBC-8B71FCE8F911}"/>
    <hyperlink ref="O35" r:id="rId91" xr:uid="{9BEAE776-7667-4422-B8AE-D87B7E1356F8}"/>
    <hyperlink ref="O36" r:id="rId92" xr:uid="{CE4CBB49-4EB8-4F52-8CA9-3B4B8825F2F2}"/>
    <hyperlink ref="W68" r:id="rId93" xr:uid="{B662C344-0C3D-4EED-8144-D2A2A8812519}"/>
    <hyperlink ref="O37" r:id="rId94" xr:uid="{97080C7F-2AF2-4EEB-9145-825866ACCE41}"/>
    <hyperlink ref="O38" r:id="rId95" xr:uid="{0F669558-5686-4DAE-83D1-C34F06F4F7ED}"/>
    <hyperlink ref="W69:W71" r:id="rId96" display="nyc" xr:uid="{FF17757B-ECE9-4842-818D-6A31D14E912E}"/>
    <hyperlink ref="O40" r:id="rId97" xr:uid="{224316B8-677B-44A7-B7B8-9FA867C18CEF}"/>
    <hyperlink ref="O41" r:id="rId98" xr:uid="{7A503D97-1F4C-4DEC-9026-99DCEDC43683}"/>
    <hyperlink ref="W86" r:id="rId99" xr:uid="{FCA71A45-1FA2-4DAC-B3B6-CF660B714B51}"/>
    <hyperlink ref="O42" r:id="rId100" xr:uid="{DE8F149A-C955-460E-B683-5D534DC3EACA}"/>
    <hyperlink ref="O43" r:id="rId101" xr:uid="{23628696-3FB7-408E-A8DD-C714CA86D776}"/>
    <hyperlink ref="O44" r:id="rId102" xr:uid="{F659D58B-260A-472F-BB60-F3BB2F861907}"/>
    <hyperlink ref="O45" r:id="rId103" xr:uid="{C630508B-D96B-4352-9B55-9B983916E471}"/>
    <hyperlink ref="W87:W88" r:id="rId104" display="diff-cover" xr:uid="{8C613597-66A0-4EFC-ADB2-63E2C6BDB1BE}"/>
    <hyperlink ref="W89" r:id="rId105" xr:uid="{9F721FA0-33F2-4773-A871-8AA5C2E04AE9}"/>
    <hyperlink ref="W90:W91" r:id="rId106" display="diff-cover" xr:uid="{74F58059-12A6-4337-B59B-2563198E2292}"/>
    <hyperlink ref="O46" r:id="rId107" xr:uid="{1706C839-0CDC-4FAC-9C59-6230A5ED0585}"/>
    <hyperlink ref="W110" r:id="rId108" xr:uid="{00C19DDD-8418-48F0-A581-BB63862756A5}"/>
    <hyperlink ref="W111:W112" r:id="rId109" display="pydriller" xr:uid="{B4B63EA0-FE78-490F-9681-B35D6AA19994}"/>
    <hyperlink ref="W113" r:id="rId110" xr:uid="{E27AE878-B259-4ECA-B63E-D82FDBAF432A}"/>
    <hyperlink ref="W114" r:id="rId111" xr:uid="{B252A257-B931-4E30-AB4A-16EFEAB1EEE4}"/>
    <hyperlink ref="O47" r:id="rId112" xr:uid="{0EF3BF1C-AF39-4916-A751-0ED7E9A03457}"/>
    <hyperlink ref="O48" r:id="rId113" xr:uid="{C1112A19-3B67-434C-9D19-F98E87B14FBA}"/>
    <hyperlink ref="O49" r:id="rId114" xr:uid="{AEF5253F-B03B-4300-B2E4-65B5F3B52882}"/>
    <hyperlink ref="O50" r:id="rId115" xr:uid="{162FE41A-6957-4033-8550-126F0A118CF4}"/>
    <hyperlink ref="O51" r:id="rId116" xr:uid="{A6B1B1E2-B14E-4AE4-9517-6C3C0E8EE3ED}"/>
    <hyperlink ref="O52" r:id="rId117" xr:uid="{110CCA52-9C52-4920-AB53-C6EE4F9225B1}"/>
    <hyperlink ref="O53" r:id="rId118" xr:uid="{0F374AEC-5D5C-47C7-8D48-05927389C414}"/>
    <hyperlink ref="O54" r:id="rId119" xr:uid="{0AE3EA38-812B-4430-B659-A9E70F3BD219}"/>
    <hyperlink ref="O56" r:id="rId120" xr:uid="{50485EAD-5A9C-4B50-97D5-0D263FB32308}"/>
    <hyperlink ref="O57" r:id="rId121" xr:uid="{208652A3-70D4-4BD3-B8B9-93E460C1600B}"/>
    <hyperlink ref="O58" r:id="rId122" xr:uid="{A566986A-AB68-4DBB-A219-B3CC77F8F722}"/>
    <hyperlink ref="O59" r:id="rId123" xr:uid="{FF6D1302-FFB2-4636-A169-DC5E8F23C4FA}"/>
    <hyperlink ref="O60" r:id="rId124" xr:uid="{881C6ABF-5B5E-43B4-9AA7-65F3F55882D5}"/>
    <hyperlink ref="O61" r:id="rId125" xr:uid="{7F4FCCAB-F062-46C1-90C8-F921A5852D57}"/>
    <hyperlink ref="O62" r:id="rId126" xr:uid="{BF927657-99B4-4001-926E-4B8569D38134}"/>
    <hyperlink ref="O63" r:id="rId127" xr:uid="{016BAFDE-FDAB-4B49-A92E-E0205975653B}"/>
    <hyperlink ref="O64" r:id="rId128" xr:uid="{4102A278-252F-497D-9AC4-4C9F6ACE488F}"/>
    <hyperlink ref="O65" r:id="rId129" xr:uid="{2A58FA85-0A2E-4634-9D9E-CF658BA2323F}"/>
    <hyperlink ref="O66" r:id="rId130" xr:uid="{E8E7B210-E8B5-494D-9FB9-2BB1D5A9F199}"/>
    <hyperlink ref="O67" r:id="rId131" xr:uid="{2CCC7EA9-6E53-484F-B829-8FE9A6F3B731}"/>
    <hyperlink ref="O68" r:id="rId132" xr:uid="{B39B8C28-AB12-4D84-BB14-E5F9D256655B}"/>
    <hyperlink ref="O69" r:id="rId133" xr:uid="{DEA6D53F-3003-42D7-9716-DD06496C1F43}"/>
    <hyperlink ref="O70" r:id="rId134" xr:uid="{897128AB-60BD-4856-AF29-70D928F7FB80}"/>
    <hyperlink ref="O71" r:id="rId135" xr:uid="{4773A800-31C0-44E1-BD3E-46701BD32282}"/>
    <hyperlink ref="O72" r:id="rId136" xr:uid="{F39453ED-F515-4012-A31F-90B6D37EDAFD}"/>
    <hyperlink ref="O73" r:id="rId137" xr:uid="{AC585606-100A-47E1-8992-94DBBFC07D5D}"/>
    <hyperlink ref="O74" r:id="rId138" xr:uid="{1020881F-4072-4A9E-99BB-DFF1036B4FB8}"/>
    <hyperlink ref="O75" r:id="rId139" xr:uid="{1AAC801F-0E24-4DDF-91DC-D0C05B88E918}"/>
    <hyperlink ref="O76" r:id="rId140" xr:uid="{94ECFBFA-26A6-4685-9A81-E2EA933FB8B1}"/>
    <hyperlink ref="O77" r:id="rId141" xr:uid="{06CDD228-E70B-4FB6-8ADF-531548A485BF}"/>
    <hyperlink ref="O79" r:id="rId142" xr:uid="{1CC28CE9-5162-426D-95FB-DA40ABCD0B7E}"/>
    <hyperlink ref="O80" r:id="rId143" xr:uid="{8BD90126-58B6-486C-A26C-D47828BE0D3E}"/>
    <hyperlink ref="O81" r:id="rId144" xr:uid="{1F6A5EE9-836A-4737-8F89-A55F6B7AE871}"/>
    <hyperlink ref="O82" r:id="rId145" xr:uid="{ECEAF8E8-CA5A-4A94-B94A-3F32DBDD8079}"/>
    <hyperlink ref="O83" r:id="rId146" xr:uid="{F175CFE5-BEF0-446C-89D7-E65197EAD675}"/>
    <hyperlink ref="O84" r:id="rId147" xr:uid="{0CDD91A1-93B1-4A1E-9E8D-43E788C1E63C}"/>
    <hyperlink ref="O85" r:id="rId148" xr:uid="{F499F29A-B8AB-442A-BBE4-3A09E77578C7}"/>
    <hyperlink ref="AA6" r:id="rId149" xr:uid="{E3FF1AE8-57C5-4C3F-A0F0-E6966297D21D}"/>
    <hyperlink ref="AA7" r:id="rId150" xr:uid="{5983D4A3-C7EA-4E18-B755-2C1BEADC3400}"/>
    <hyperlink ref="AA8" r:id="rId151" xr:uid="{ABC44BDD-8228-41D8-83DA-863AC28F2E3D}"/>
    <hyperlink ref="AA9" r:id="rId152" xr:uid="{D2967E6C-3F9A-4A5D-857C-6954483E8AC1}"/>
    <hyperlink ref="AA10" r:id="rId153" xr:uid="{13AAB19B-6BD8-4376-8C73-CD0A0B5C7BD0}"/>
    <hyperlink ref="AA11" r:id="rId154" xr:uid="{0B6B7492-70BF-4CB7-A9E1-AF30371694B0}"/>
    <hyperlink ref="AA12" r:id="rId155" xr:uid="{4D8393D7-AF50-492A-B512-207C50C6CC7B}"/>
    <hyperlink ref="AA13" r:id="rId156" xr:uid="{CE49E737-098F-478C-9549-11F9C75A8C24}"/>
    <hyperlink ref="AA14" r:id="rId157" xr:uid="{AC3DB486-28DE-4FE5-83F7-352E20794ABA}"/>
    <hyperlink ref="AA15" r:id="rId158" xr:uid="{1FC232B5-1F05-4C1D-A760-32F068EBD442}"/>
    <hyperlink ref="W56" r:id="rId159" xr:uid="{1E2F8D47-6485-4544-8374-01D5D2B04FBE}"/>
    <hyperlink ref="AA16" r:id="rId160" xr:uid="{39387283-65E9-4F8C-B971-B6DA05181E51}"/>
    <hyperlink ref="AA17" r:id="rId161" xr:uid="{874F1914-8EB3-4744-BDFA-505285F97266}"/>
    <hyperlink ref="AA18" r:id="rId162" xr:uid="{0E459525-9779-43B4-A318-78168DC4835B}"/>
    <hyperlink ref="W57:W59" r:id="rId163" display="nyc + mocha" xr:uid="{A512450F-67F0-4284-9730-99082992E2E5}"/>
    <hyperlink ref="W60" r:id="rId164" xr:uid="{CC0F3DD5-D48A-4705-B7A9-2DA8B3B180A6}"/>
    <hyperlink ref="W61:W62" r:id="rId165" display="nyc + mocha" xr:uid="{7002B474-DA55-462F-82D9-61C35C0EC4CF}"/>
    <hyperlink ref="W63" r:id="rId166" xr:uid="{64A1947D-07A6-4A37-9C5E-28987BDD9429}"/>
    <hyperlink ref="W64:W66" r:id="rId167" display="nyc + mocha" xr:uid="{5370A5C2-68E3-4796-854D-CB780CEE8EDE}"/>
    <hyperlink ref="AA20" r:id="rId168" xr:uid="{890F37EF-1F8C-45EE-A48F-D8C5A4BF7ED9}"/>
    <hyperlink ref="AA21" r:id="rId169" xr:uid="{ED02ED18-4FD6-4DF6-840F-2D89B1DA3AF9}"/>
    <hyperlink ref="W67" r:id="rId170" xr:uid="{5F527855-522A-4D88-A1A9-FDEAA25B870D}"/>
    <hyperlink ref="AA22" r:id="rId171" xr:uid="{369DF538-1D96-4DCC-86BD-137E56B873E7}"/>
    <hyperlink ref="AA23" r:id="rId172" xr:uid="{A605FDA0-9A15-4BE1-AA7C-94D3E21058B3}"/>
    <hyperlink ref="AA24" r:id="rId173" xr:uid="{F9317BE0-61CC-4A8A-8F2E-DBA60B4CF380}"/>
    <hyperlink ref="AA25" r:id="rId174" xr:uid="{245F23BE-EED5-4D41-88BF-76D0F240D798}"/>
    <hyperlink ref="AA26" r:id="rId175" xr:uid="{7B4DB4E8-F514-441D-9019-0BB7E4805D0C}"/>
    <hyperlink ref="AA27" r:id="rId176" xr:uid="{6D7535D9-E4E0-496C-8FEF-8B70563FB806}"/>
    <hyperlink ref="AA28" r:id="rId177" xr:uid="{6FB965FC-E6BA-42C7-A013-55B46BB88DB4}"/>
    <hyperlink ref="AA29" r:id="rId178" xr:uid="{CBC0AAF2-9016-457E-BAD0-F5A4D72928D4}"/>
    <hyperlink ref="AA30" r:id="rId179" xr:uid="{555B39C4-E685-4FF9-8045-5D1B174A6087}"/>
    <hyperlink ref="AA31" r:id="rId180" xr:uid="{D6F5DDF2-1864-4457-9EC3-A1F0FA40A66F}"/>
    <hyperlink ref="AA32" r:id="rId181" xr:uid="{E1CC7C63-103E-453B-9FED-F4EF53E9EC22}"/>
    <hyperlink ref="AA33" r:id="rId182" xr:uid="{BAC503B6-9AB3-4202-BCBD-99214AEC7468}"/>
    <hyperlink ref="AA34" r:id="rId183" xr:uid="{C44F67FE-24F6-49CA-9216-86C49584C93B}"/>
    <hyperlink ref="AA35" r:id="rId184" xr:uid="{32AC5AD0-379D-4BA6-94D1-DA73AE239FE7}"/>
    <hyperlink ref="AA36" r:id="rId185" xr:uid="{A80D1877-9523-4EE9-BBBA-76FCDFBA0CAF}"/>
    <hyperlink ref="W79" r:id="rId186" xr:uid="{E727CEFB-A44F-4791-A08C-0BABE0C990BB}"/>
    <hyperlink ref="AA37" r:id="rId187" xr:uid="{EFB8EC3A-1F32-457F-AA11-EB44EFA78872}"/>
    <hyperlink ref="AA38" r:id="rId188" xr:uid="{1EB3D671-5B86-46FC-AEAB-76333946DFB2}"/>
    <hyperlink ref="W80" r:id="rId189" xr:uid="{A4DE19A5-B36E-4483-A28B-72E66BE9BFB2}"/>
    <hyperlink ref="W81" r:id="rId190" xr:uid="{6C804FB4-8C2B-4A36-8975-8EF5DA854B24}"/>
    <hyperlink ref="AA40" r:id="rId191" xr:uid="{0A7DEBC9-CFD3-47B1-B29F-5494FF34B853}"/>
    <hyperlink ref="W82" r:id="rId192" xr:uid="{54495F1D-ADEB-4A87-AEF1-BCCCD1D05B46}"/>
    <hyperlink ref="AA41" r:id="rId193" xr:uid="{0E98AC4B-4A37-49B4-8295-B6AC3E6C0C3B}"/>
    <hyperlink ref="AA42" r:id="rId194" xr:uid="{E6D62A60-F293-480C-8D6E-7DD40A9E526F}"/>
    <hyperlink ref="W83" r:id="rId195" xr:uid="{B13D3DAD-00A1-4172-8870-07302CD3064F}"/>
    <hyperlink ref="AA43" r:id="rId196" xr:uid="{47CB7396-7D7A-448F-851C-72632AEFCB73}"/>
    <hyperlink ref="AA44" r:id="rId197" xr:uid="{40C8154D-3648-479A-BEF5-CFA1511F6F27}"/>
    <hyperlink ref="W84" r:id="rId198" xr:uid="{163E006D-3358-4445-A498-FE6DD8C087BB}"/>
    <hyperlink ref="AA45" r:id="rId199" xr:uid="{FD2BB6F2-D473-45D4-A6DE-E4BBEDC0D551}"/>
    <hyperlink ref="AA46" r:id="rId200" xr:uid="{A85DE17E-8989-4A4D-9032-C594C744BEC9}"/>
    <hyperlink ref="W85" r:id="rId201" xr:uid="{7205CB52-62F1-4BE6-8064-229300FF47A8}"/>
    <hyperlink ref="AA56" r:id="rId202" xr:uid="{A212153B-D549-4645-AA3D-5535ABD5E776}"/>
    <hyperlink ref="AA57" r:id="rId203" xr:uid="{CB173F33-918F-451B-AB08-4CF1B9EF3B75}"/>
    <hyperlink ref="AA58:AA68" r:id="rId204" display="vitest + @vitest/coverage-v8" xr:uid="{AB55BF38-A69D-45A2-B795-B6646CEFBF8D}"/>
    <hyperlink ref="AA71" r:id="rId205" xr:uid="{0182F9DC-A9B2-49FF-8F3F-D99A70D12A07}"/>
    <hyperlink ref="AA73" r:id="rId206" xr:uid="{6B0D2882-956A-46EF-ACB1-9FD836BE3A6A}"/>
    <hyperlink ref="AA79:AA85" r:id="rId207" display="stryker-mutator/core" xr:uid="{3879335C-BA62-4D6A-973C-557567127C97}"/>
    <hyperlink ref="AA86:AA91" r:id="rId208" display="vitest + @vitest/coverage-v8" xr:uid="{AAD9758E-AC75-4EFA-BAA3-0DF3EEC799D6}"/>
    <hyperlink ref="AA110:AA114" r:id="rId209" display="pydriller" xr:uid="{233A975B-CAA1-454E-BBBC-0F957F60EAD1}"/>
    <hyperlink ref="G6" r:id="rId210" xr:uid="{5CE1F264-B81C-4B38-9D96-7D14826B89A0}"/>
    <hyperlink ref="G9" r:id="rId211" xr:uid="{5AD13F39-FB71-4B84-BB5A-11EA3179B194}"/>
    <hyperlink ref="G97" r:id="rId212" xr:uid="{12962747-5A5A-454B-A765-01F5A12F1A4D}"/>
    <hyperlink ref="G7" r:id="rId213" xr:uid="{5668ED8E-176D-435D-B976-03C40BE21259}"/>
    <hyperlink ref="G56" r:id="rId214" xr:uid="{AF1FC024-B1E5-4042-BAA7-83A90A5F7822}"/>
    <hyperlink ref="G57" r:id="rId215" xr:uid="{8135790B-F608-4CCE-B77F-D0C0905A03FB}"/>
    <hyperlink ref="G58" r:id="rId216" xr:uid="{39E533FD-F3E5-478A-ACAC-A2AB62226DEC}"/>
    <hyperlink ref="G59" r:id="rId217" xr:uid="{749E6F1D-6DAE-4401-9DB5-81DD43AC4245}"/>
    <hyperlink ref="G60" r:id="rId218" xr:uid="{61CB0148-1CB4-4A0F-924B-93C7DB2747FD}"/>
    <hyperlink ref="G61" r:id="rId219" xr:uid="{3A848B8A-D110-441D-8A7D-CF48E1538909}"/>
    <hyperlink ref="G62" r:id="rId220" xr:uid="{3066A9B8-4A00-435E-A559-CA0D1F1A1C78}"/>
    <hyperlink ref="G63" r:id="rId221" xr:uid="{EE53D252-ECB1-487C-901C-2CCFDEED6CAF}"/>
    <hyperlink ref="G64" r:id="rId222" xr:uid="{35888EB7-816A-48FC-A3A2-830A9567175F}"/>
    <hyperlink ref="G65" r:id="rId223" xr:uid="{1251A3EE-9D5C-4C78-ACCF-727D59A865C4}"/>
    <hyperlink ref="G66" r:id="rId224" xr:uid="{BB90BA27-48B5-4C06-9521-CF947BB4781F}"/>
    <hyperlink ref="G67" r:id="rId225" xr:uid="{54AF147C-832B-4521-9140-DA9C0741C880}"/>
    <hyperlink ref="G68" r:id="rId226" xr:uid="{100B7053-7661-4784-B139-E5856BE8D49D}"/>
    <hyperlink ref="G69" r:id="rId227" xr:uid="{CC29DC8E-DEC6-4E9F-9DD7-F9E43804F7B1}"/>
    <hyperlink ref="G70" r:id="rId228" xr:uid="{9EB80B0C-DF32-46D1-B929-EECE51BA4EAA}"/>
    <hyperlink ref="G71" r:id="rId229" xr:uid="{7D138FDA-9726-429B-9071-5DF188515BFA}"/>
    <hyperlink ref="G72" r:id="rId230" xr:uid="{358834A9-13C6-4C65-8BA7-80758C8634FF}"/>
    <hyperlink ref="G73" r:id="rId231" xr:uid="{D4AF41B8-55AA-40F1-B51A-DB4D5C2235C3}"/>
    <hyperlink ref="G74" r:id="rId232" xr:uid="{F9DD5952-516F-4570-974F-023611ABE0BA}"/>
    <hyperlink ref="G75" r:id="rId233" xr:uid="{34FE6480-E52D-410A-A48F-ED2C24664D22}"/>
    <hyperlink ref="G76" r:id="rId234" xr:uid="{03EF2E8B-0D19-46F9-AA60-4148E5F0FCE6}"/>
    <hyperlink ref="G77" r:id="rId235" xr:uid="{9DE3D127-8899-49F7-AFD9-F0A5E2DCC0CE}"/>
    <hyperlink ref="G86" r:id="rId236" xr:uid="{E76F6614-8060-4C05-9489-377459F480BB}"/>
    <hyperlink ref="G87" r:id="rId237" xr:uid="{091B850F-3E46-41D4-B1AE-DC3EB4A723F6}"/>
    <hyperlink ref="G88" r:id="rId238" xr:uid="{FF223060-DF00-4D7D-8180-94DE57893A5A}"/>
    <hyperlink ref="G89" r:id="rId239" xr:uid="{56731C95-4687-481E-AB77-C22300F6D6E8}"/>
    <hyperlink ref="G90" r:id="rId240" xr:uid="{8F4D7860-806D-4192-9BAC-AB94E5377DE7}"/>
    <hyperlink ref="G91" r:id="rId241" xr:uid="{7DAC9D3D-A11D-4988-9A3E-EF698F2A1BFE}"/>
    <hyperlink ref="G94" r:id="rId242" xr:uid="{F3C860EE-3330-4B90-8BF8-FFE8F59F7EBA}"/>
    <hyperlink ref="G99" r:id="rId243" xr:uid="{D3ED8D59-6A3D-4D32-9148-B0C8275EC3EC}"/>
    <hyperlink ref="G100" r:id="rId244" xr:uid="{75BFFBB6-F79F-4CE9-8D04-08B7FDE73EDE}"/>
    <hyperlink ref="G101" r:id="rId245" xr:uid="{CF5399DA-9D24-4684-BF2E-A4590042CFFF}"/>
    <hyperlink ref="G102" r:id="rId246" xr:uid="{64B2FEB8-9499-448B-80D2-D6A9C09E248C}"/>
    <hyperlink ref="G103" r:id="rId247" xr:uid="{C6F7F6AA-08E3-45A0-8983-672731131496}"/>
    <hyperlink ref="G104" r:id="rId248" xr:uid="{F8E58E93-BD8F-4BF1-B0C6-8FB1E510B1C3}"/>
    <hyperlink ref="G105" r:id="rId249" xr:uid="{E8330E6A-994F-4A59-93BC-F7F429BDEC0B}"/>
    <hyperlink ref="G106" r:id="rId250" xr:uid="{100D8FA4-50F7-43CF-BA9B-68423C9CDC4B}"/>
    <hyperlink ref="G107" r:id="rId251" xr:uid="{4CD276DE-A52B-4856-B834-6240E73662BA}"/>
    <hyperlink ref="G108" r:id="rId252" xr:uid="{CC514F28-85EF-4C53-941C-7929CC146950}"/>
    <hyperlink ref="G8" r:id="rId253" xr:uid="{018C6C62-4509-46B1-85C4-CA501F20E463}"/>
    <hyperlink ref="W93" r:id="rId254" xr:uid="{23A2FD73-FC61-4269-AB53-54CF1207667C}"/>
    <hyperlink ref="G10" r:id="rId255" xr:uid="{94AEDC8C-1764-4EF1-B444-050F81BC35AC}"/>
    <hyperlink ref="W94:W95" r:id="rId256" display="ESLint (eslint-scope) + nyc " xr:uid="{CB0DCEC4-9D30-4777-93E5-CAA5A972B7D1}"/>
    <hyperlink ref="W96" r:id="rId257" xr:uid="{95ED3137-039C-44EE-B013-AB2DE3DFC47D}"/>
    <hyperlink ref="W97" r:id="rId258" xr:uid="{45836A93-19B6-44E5-8900-584B58055964}"/>
    <hyperlink ref="W98" r:id="rId259" xr:uid="{60D60DE8-EF0E-42C8-BB6C-29AF2425733F}"/>
    <hyperlink ref="W99:W100" r:id="rId260" display="ESLint (eslint-scope) + nyc " xr:uid="{EF6AEE36-9C26-42BF-A0C7-0544C5150D30}"/>
    <hyperlink ref="W101" r:id="rId261" xr:uid="{1A414B0D-8512-4A04-8CEE-431345FFF378}"/>
    <hyperlink ref="W102" r:id="rId262" xr:uid="{5BE82579-E643-441C-9DB3-9DF28576D32C}"/>
    <hyperlink ref="W103:W104" r:id="rId263" display="ESLint (eslint-scope) + nyc " xr:uid="{5FCF1660-C9EC-4085-8CE4-9B8DCD0652A7}"/>
    <hyperlink ref="W105" r:id="rId264" xr:uid="{49064CA0-C50E-44F3-92BC-CFC33D79150A}"/>
    <hyperlink ref="W106:W107" r:id="rId265" display="ESLint (eslint-scope) + nyc " xr:uid="{5150210D-77E6-446F-BB23-78872FF19BC2}"/>
    <hyperlink ref="W108" r:id="rId266" xr:uid="{D44DFFD3-9377-498F-AEB0-909245A1C3AC}"/>
    <hyperlink ref="G11" r:id="rId267" xr:uid="{0FFAFF7A-26A7-4D1E-B596-64B07D1F9D3F}"/>
    <hyperlink ref="W75" r:id="rId268" xr:uid="{CC675B99-B0B9-4FB6-8402-3EFA93AB7E0A}"/>
    <hyperlink ref="W76:W77" r:id="rId269" display="ESLint (eslint-scope) + nyc " xr:uid="{CF362AF7-5419-4AEC-B426-34420BB2F289}"/>
    <hyperlink ref="G20" r:id="rId270" xr:uid="{8101ED3D-52EC-4253-A0EA-03CED956D9A8}"/>
    <hyperlink ref="G21" r:id="rId271" xr:uid="{188A0226-A29F-4403-90BF-4E42BEEE8796}"/>
    <hyperlink ref="G22" r:id="rId272" xr:uid="{79307834-0C53-46A9-B9D0-01378D3B0AA5}"/>
    <hyperlink ref="G23" r:id="rId273" xr:uid="{4791B5C2-E423-4C56-B8E5-2D2E06B12757}"/>
    <hyperlink ref="G24" r:id="rId274" xr:uid="{02D32EA9-F910-4817-8155-41C1B5B62C36}"/>
    <hyperlink ref="G25" r:id="rId275" xr:uid="{354E04C6-D591-4B44-BF85-4012A7E49D75}"/>
    <hyperlink ref="G26" r:id="rId276" xr:uid="{33C0C88E-830E-4A91-ADB1-CD934A587C66}"/>
    <hyperlink ref="G27" r:id="rId277" xr:uid="{5CE09469-5346-4160-A084-D31B059DD7DF}"/>
    <hyperlink ref="G28" r:id="rId278" xr:uid="{F7AD94EE-74CC-4D94-81D7-2063D4F6A69B}"/>
    <hyperlink ref="G29" r:id="rId279" xr:uid="{BB90AE70-C4A7-4947-9058-5BCCC9C77F30}"/>
    <hyperlink ref="G30" r:id="rId280" xr:uid="{708135C0-C7C7-4845-BC07-54FBE7DF933B}"/>
    <hyperlink ref="G31" r:id="rId281" xr:uid="{D5A145C9-B649-4BB7-A800-0447D5C94A7F}"/>
    <hyperlink ref="G32" r:id="rId282" xr:uid="{C28D2137-2F92-4AA8-9B56-EAF54F6441BB}"/>
    <hyperlink ref="G33" r:id="rId283" xr:uid="{02D1CB60-99A4-4825-A9E8-50A64F344A13}"/>
    <hyperlink ref="G34" r:id="rId284" xr:uid="{924179DE-81C4-4566-9F34-C5F88D410E95}"/>
    <hyperlink ref="G35" r:id="rId285" xr:uid="{7B26FA3C-9EA8-4C6A-84C6-500E706FE6AF}"/>
    <hyperlink ref="G36" r:id="rId286" xr:uid="{43B7F9B8-E6D1-4297-AD2C-7F743F08A82B}"/>
    <hyperlink ref="G37" r:id="rId287" xr:uid="{873A8723-2F18-40E5-9891-15BB4F98478F}"/>
    <hyperlink ref="G38" r:id="rId288" xr:uid="{9098B16E-F760-4B9A-87EC-86B1396E92BE}"/>
    <hyperlink ref="G96" r:id="rId289" xr:uid="{61DBE9E1-0128-4660-A86E-A29AC2E2C1BA}"/>
    <hyperlink ref="G41" r:id="rId290" xr:uid="{E1084E8B-C32F-49CB-932D-705D5659FC76}"/>
    <hyperlink ref="G42" r:id="rId291" xr:uid="{9507858D-8F16-4C8B-8D86-4B841B67B785}"/>
    <hyperlink ref="G43" r:id="rId292" xr:uid="{4371AC59-19D8-446F-96E4-08B10C375E50}"/>
    <hyperlink ref="G44" r:id="rId293" xr:uid="{D082A388-23A2-4F40-9180-690CDB2DFF24}"/>
    <hyperlink ref="G45" r:id="rId294" xr:uid="{1EB76306-3A34-4EB9-9D99-534AC95DCDAE}"/>
    <hyperlink ref="G46" r:id="rId295" xr:uid="{5D78A428-B508-415E-89F1-9AD3F4DC75CE}"/>
    <hyperlink ref="G47" r:id="rId296" xr:uid="{888BEC2A-907E-4EC0-A2CF-069283EE9470}"/>
    <hyperlink ref="G48" r:id="rId297" xr:uid="{B72F91FE-4B52-4A1B-A72C-B9ECF5C5DC18}"/>
    <hyperlink ref="G49" r:id="rId298" xr:uid="{0F47681F-F011-41EC-8078-48B120AD7A77}"/>
    <hyperlink ref="G50" r:id="rId299" xr:uid="{B63541EE-3E38-4E5B-9856-5FDACE8A6392}"/>
    <hyperlink ref="G51" r:id="rId300" xr:uid="{1F76782B-279E-4F51-B381-2548C376173A}"/>
    <hyperlink ref="G52" r:id="rId301" xr:uid="{32E87E08-37E8-49B0-B909-11546061275D}"/>
    <hyperlink ref="G53" r:id="rId302" xr:uid="{236B2850-3A55-4C18-929B-0367F382EF88}"/>
    <hyperlink ref="G54" r:id="rId303" xr:uid="{4F012C50-5F10-42AE-9611-47C1D257F40E}"/>
    <hyperlink ref="G79" r:id="rId304" xr:uid="{F42CEEB2-A01B-4653-9F71-AEE4BB527C4F}"/>
    <hyperlink ref="G80" r:id="rId305" xr:uid="{D1F339F2-C741-4369-80AF-AF673DBD4EEB}"/>
    <hyperlink ref="G81" r:id="rId306" xr:uid="{A7297F15-9204-4CF5-814B-7E5127C9356E}"/>
    <hyperlink ref="G82" r:id="rId307" xr:uid="{E1095694-ECBA-4AF1-92EA-98930466033E}"/>
    <hyperlink ref="G83" r:id="rId308" xr:uid="{0677064E-4674-412E-948C-81F2F9AA34CD}"/>
    <hyperlink ref="G84" r:id="rId309" xr:uid="{451D0E40-E6FF-4174-813B-83A1DC8E026F}"/>
    <hyperlink ref="G85" r:id="rId310" xr:uid="{F08A6FA1-015D-48BB-B210-8C8A89422387}"/>
    <hyperlink ref="G93" r:id="rId311" xr:uid="{88ECE999-52D9-4C6F-9818-F887ED5BE7D6}"/>
    <hyperlink ref="G95" r:id="rId312" xr:uid="{9548AD73-A3ED-4382-9362-3FE53060F849}"/>
    <hyperlink ref="G98" r:id="rId313" xr:uid="{C0317F1B-FB8F-4A12-A6C9-3A088634D7BE}"/>
    <hyperlink ref="G110" r:id="rId314" xr:uid="{DCD57290-A33A-4A55-A07C-7BCBDA6CD43C}"/>
    <hyperlink ref="G111" r:id="rId315" xr:uid="{B07C0F96-D8EC-459F-A67E-B3423444B400}"/>
    <hyperlink ref="G112" r:id="rId316" xr:uid="{C06713A1-5757-43AD-AC77-4AFC9150A4EA}"/>
    <hyperlink ref="G113" r:id="rId317" xr:uid="{536A6AEB-A2DB-4728-BABB-E821DF347BD8}"/>
    <hyperlink ref="G114" r:id="rId318" xr:uid="{CFE5CD7A-FF7B-4CE4-A68C-F79653B6C2BC}"/>
    <hyperlink ref="O86" r:id="rId319" xr:uid="{2E1A2E0F-09B3-4774-A397-2784F3761B0B}"/>
    <hyperlink ref="O87" r:id="rId320" xr:uid="{F90C3D43-F106-4C73-BD74-79CDB46F9BF2}"/>
    <hyperlink ref="O88" r:id="rId321" xr:uid="{CB1F3EE3-DC2B-4DDA-A535-DFB0A8D85917}"/>
    <hyperlink ref="O89" r:id="rId322" xr:uid="{A2550516-3C63-4E02-89AA-03F19C79D1F7}"/>
    <hyperlink ref="O90" r:id="rId323" xr:uid="{069BCF6C-2CED-4050-8D59-0E67280A63A6}"/>
    <hyperlink ref="O91" r:id="rId324" xr:uid="{99FF1B22-0A0A-4640-BE58-43FA10696111}"/>
    <hyperlink ref="O93" r:id="rId325" xr:uid="{AF1294B6-3DBB-45D1-AFB8-BB58EB54B19C}"/>
    <hyperlink ref="G12" r:id="rId326" xr:uid="{8ED88AA9-FE54-4275-8E3A-EA45C9E5D639}"/>
    <hyperlink ref="G13" r:id="rId327" xr:uid="{464D9E38-C317-4B11-A971-CB5F4757D0D7}"/>
    <hyperlink ref="G14" r:id="rId328" xr:uid="{2C99700E-73F3-4D7D-A10A-783F9E0F8C03}"/>
    <hyperlink ref="G15" r:id="rId329" xr:uid="{06437B2D-AA7F-415B-9BC9-2CF8E38B9C87}"/>
    <hyperlink ref="G16" r:id="rId330" xr:uid="{8F1CF1FB-66B2-4B7B-A126-8DC4A1839616}"/>
    <hyperlink ref="G17" r:id="rId331" xr:uid="{409C1569-D837-4658-86E5-9DAB0FE51615}"/>
    <hyperlink ref="G18" r:id="rId332" xr:uid="{C364B641-7EFE-48BC-958C-33A9FC89F4F5}"/>
    <hyperlink ref="O94" r:id="rId333" xr:uid="{FCD7228A-2C23-4C66-9F2B-E5BB39454210}"/>
    <hyperlink ref="O95" r:id="rId334" xr:uid="{3F4F8999-A941-442A-9C84-40329C22E8CC}"/>
    <hyperlink ref="O96" r:id="rId335" xr:uid="{62444147-B600-4A58-B3B6-8BF8DBB21982}"/>
    <hyperlink ref="O97" r:id="rId336" xr:uid="{3DC40EE8-9FC2-48C8-B023-9728BEC242B3}"/>
    <hyperlink ref="AA93" r:id="rId337" xr:uid="{3A8B7110-D275-443A-970A-E8CAA1911F8F}"/>
    <hyperlink ref="AA94:AA108" r:id="rId338" display="ts-morph" xr:uid="{0DC936E4-A3ED-4624-A3C1-AA80277ACEFB}"/>
    <hyperlink ref="S47" r:id="rId339" xr:uid="{368C4BA0-071B-4F89-B002-2B5F60B0793E}"/>
    <hyperlink ref="S48:S54" r:id="rId340" display="dotnet package list --include-transitive --vulnerable --format json (NuGet audit)" xr:uid="{B1BFD45A-7176-41D9-B489-ABDE8747B96D}"/>
    <hyperlink ref="AA75" r:id="rId341" xr:uid="{C003EE5B-9257-44DE-A3FA-824581C7D68A}"/>
    <hyperlink ref="O98" r:id="rId342" xr:uid="{D685B02F-8D87-4D8B-80BB-20CD325E12CE}"/>
    <hyperlink ref="AA77" r:id="rId343" xr:uid="{86391ABE-FF8C-4D5B-AD78-5AC72E462858}"/>
    <hyperlink ref="O99" r:id="rId344" xr:uid="{68492744-FF5F-45D1-AC45-2790FFC39B47}"/>
    <hyperlink ref="O100" r:id="rId345" xr:uid="{E8778D79-BC3B-413C-9677-6447E71E271C}"/>
    <hyperlink ref="O101" r:id="rId346" xr:uid="{35F2AF2A-0459-44DA-A569-7AF5F110C7DE}"/>
    <hyperlink ref="O102" r:id="rId347" xr:uid="{2C677CEB-F538-4F71-BC54-376E0F240BD8}"/>
    <hyperlink ref="O103" r:id="rId348" xr:uid="{286F94A3-E388-4BF0-815C-B16F5A3D8FC1}"/>
    <hyperlink ref="O104" r:id="rId349" xr:uid="{84D3A2E6-10F2-4E64-9235-F12AE9E3AC12}"/>
    <hyperlink ref="O105" r:id="rId350" xr:uid="{5894917E-DDCF-45E7-989E-040600803B7E}"/>
    <hyperlink ref="O106" r:id="rId351" xr:uid="{FA7DEA4A-8F54-4937-ABDA-688E0C5B2512}"/>
    <hyperlink ref="O107" r:id="rId352" xr:uid="{7F1D33A6-AE71-45CA-B8F6-1519A46EA0AC}"/>
    <hyperlink ref="O108" r:id="rId353" xr:uid="{4DAF4EF9-68F5-4A9D-B483-3C933CB6B23E}"/>
    <hyperlink ref="G40" r:id="rId354" xr:uid="{19F6A49F-D218-4611-98B8-2BF626DBDFD3}"/>
    <hyperlink ref="AA69" r:id="rId355" xr:uid="{D06C0C97-4DDE-4B4E-B416-361623564942}"/>
    <hyperlink ref="AA70" r:id="rId356" xr:uid="{793D1257-D20F-42DC-B825-17CB7DA06BA0}"/>
    <hyperlink ref="AA72" r:id="rId357" xr:uid="{464FB9D7-5F8B-4E2E-9C60-185002C62545}"/>
    <hyperlink ref="AA74" r:id="rId358" xr:uid="{88C0658E-E350-4B70-B748-5468B416B1E0}"/>
    <hyperlink ref="AA76" r:id="rId359" xr:uid="{981EAF8E-DC22-4E14-B044-BEB086E47F94}"/>
    <hyperlink ref="AA47" r:id="rId360" xr:uid="{DDC69E78-64BC-4437-86A5-80262374A35E}"/>
    <hyperlink ref="AA48" r:id="rId361" xr:uid="{A97D4978-FC8A-46D9-B761-BFCF736DEB13}"/>
    <hyperlink ref="AA49" r:id="rId362" xr:uid="{257A5A47-F059-499A-9501-B19EE7192F19}"/>
    <hyperlink ref="AA50" r:id="rId363" xr:uid="{ECD769FE-4A6C-452B-B042-16CEF38DB94D}"/>
    <hyperlink ref="AA51" r:id="rId364" xr:uid="{AC2D2A50-D001-43A1-BD82-9A89D1A6E667}"/>
    <hyperlink ref="AA52" r:id="rId365" xr:uid="{1BD84085-C433-4731-A2B5-3246FD964D23}"/>
    <hyperlink ref="AA53" r:id="rId366" xr:uid="{B6DCCAA7-46F0-4DCE-B954-8677281B5437}"/>
    <hyperlink ref="AA54" r:id="rId367" xr:uid="{8C2F3BF0-D816-432C-A99A-DD6240D226C3}"/>
  </hyperlinks>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6"/>
  <sheetViews>
    <sheetView showGridLines="0" zoomScale="160" zoomScaleNormal="160" workbookViewId="0">
      <pane ySplit="3" topLeftCell="A24" activePane="bottomLeft" state="frozen"/>
      <selection pane="bottomLeft" activeCell="K7" sqref="K7"/>
    </sheetView>
  </sheetViews>
  <sheetFormatPr defaultColWidth="8.85546875" defaultRowHeight="15"/>
  <cols>
    <col min="1" max="1" width="14" customWidth="1"/>
    <col min="2" max="2" width="22" customWidth="1"/>
    <col min="3" max="3" width="24" customWidth="1"/>
    <col min="4" max="4" width="28" customWidth="1"/>
    <col min="5" max="5" width="30" customWidth="1"/>
    <col min="6" max="6" width="42" customWidth="1"/>
    <col min="7" max="8" width="22" customWidth="1"/>
    <col min="9" max="9" width="40" customWidth="1"/>
    <col min="10" max="10" width="42" customWidth="1"/>
    <col min="11" max="11" width="36" customWidth="1"/>
    <col min="12" max="12" width="42" customWidth="1"/>
    <col min="13" max="13" width="22" customWidth="1"/>
  </cols>
  <sheetData>
    <row r="1" spans="1:13" ht="27.95" customHeight="1">
      <c r="A1" s="60" t="s">
        <v>1333</v>
      </c>
      <c r="B1" s="75"/>
      <c r="C1" s="75"/>
      <c r="D1" s="75"/>
      <c r="E1" s="75"/>
      <c r="F1" s="75"/>
      <c r="G1" s="75"/>
      <c r="H1" s="75"/>
      <c r="I1" s="75"/>
      <c r="J1" s="75"/>
      <c r="K1" s="75"/>
      <c r="L1" s="75"/>
      <c r="M1" s="75"/>
    </row>
    <row r="2" spans="1:13" ht="18" customHeight="1">
      <c r="A2" s="59" t="s">
        <v>1334</v>
      </c>
      <c r="B2" s="75"/>
      <c r="C2" s="75"/>
      <c r="D2" s="75"/>
      <c r="E2" s="75"/>
      <c r="F2" s="75"/>
      <c r="G2" s="75"/>
      <c r="H2" s="75"/>
      <c r="I2" s="75"/>
      <c r="J2" s="75"/>
      <c r="K2" s="75"/>
      <c r="L2" s="75"/>
      <c r="M2" s="75"/>
    </row>
    <row r="3" spans="1:13" ht="38.1" customHeight="1">
      <c r="A3" s="6" t="s">
        <v>14</v>
      </c>
      <c r="B3" s="6" t="s">
        <v>16</v>
      </c>
      <c r="C3" s="6" t="s">
        <v>18</v>
      </c>
      <c r="D3" s="6" t="s">
        <v>20</v>
      </c>
      <c r="E3" s="7" t="s">
        <v>22</v>
      </c>
      <c r="F3" s="7" t="s">
        <v>24</v>
      </c>
      <c r="G3" s="8" t="s">
        <v>26</v>
      </c>
      <c r="H3" s="8" t="s">
        <v>28</v>
      </c>
      <c r="I3" s="6" t="s">
        <v>32</v>
      </c>
      <c r="J3" s="9" t="s">
        <v>34</v>
      </c>
      <c r="K3" s="9" t="s">
        <v>36</v>
      </c>
      <c r="L3" s="9" t="s">
        <v>38</v>
      </c>
      <c r="M3" s="6" t="s">
        <v>40</v>
      </c>
    </row>
    <row r="4" spans="1:13" ht="21.95" customHeight="1">
      <c r="A4" s="58" t="s">
        <v>1335</v>
      </c>
      <c r="B4" s="75"/>
      <c r="C4" s="75"/>
      <c r="D4" s="75"/>
      <c r="E4" s="75"/>
      <c r="F4" s="75"/>
      <c r="G4" s="75"/>
      <c r="H4" s="75"/>
      <c r="I4" s="75"/>
      <c r="J4" s="75"/>
      <c r="K4" s="75"/>
      <c r="L4" s="75"/>
      <c r="M4" s="75"/>
    </row>
    <row r="5" spans="1:13" ht="50.1" customHeight="1">
      <c r="A5" s="10" t="s">
        <v>45</v>
      </c>
      <c r="B5" s="10" t="s">
        <v>1336</v>
      </c>
      <c r="C5" s="10" t="s">
        <v>1337</v>
      </c>
      <c r="D5" s="10" t="s">
        <v>1338</v>
      </c>
      <c r="E5" s="10" t="s">
        <v>1339</v>
      </c>
      <c r="F5" s="10" t="s">
        <v>1340</v>
      </c>
      <c r="G5" s="10" t="s">
        <v>1341</v>
      </c>
      <c r="H5" s="10" t="s">
        <v>1342</v>
      </c>
      <c r="I5" s="10" t="s">
        <v>1343</v>
      </c>
      <c r="J5" s="10" t="s">
        <v>1344</v>
      </c>
      <c r="K5" s="10" t="s">
        <v>1345</v>
      </c>
      <c r="L5" s="10" t="s">
        <v>1346</v>
      </c>
      <c r="M5" s="10" t="s">
        <v>87</v>
      </c>
    </row>
    <row r="6" spans="1:13" ht="50.1" customHeight="1">
      <c r="A6" s="11" t="s">
        <v>45</v>
      </c>
      <c r="B6" s="11" t="s">
        <v>1336</v>
      </c>
      <c r="C6" s="11" t="s">
        <v>1337</v>
      </c>
      <c r="D6" s="11" t="s">
        <v>1347</v>
      </c>
      <c r="E6" s="11" t="s">
        <v>1348</v>
      </c>
      <c r="F6" s="11" t="s">
        <v>1349</v>
      </c>
      <c r="G6" s="11" t="s">
        <v>1341</v>
      </c>
      <c r="H6" s="11" t="s">
        <v>1342</v>
      </c>
      <c r="I6" s="11" t="s">
        <v>1343</v>
      </c>
      <c r="J6" s="11" t="s">
        <v>1350</v>
      </c>
      <c r="K6" s="11" t="s">
        <v>1351</v>
      </c>
      <c r="L6" s="11" t="s">
        <v>1352</v>
      </c>
      <c r="M6" s="11" t="s">
        <v>87</v>
      </c>
    </row>
    <row r="7" spans="1:13" ht="50.1" customHeight="1">
      <c r="A7" s="10" t="s">
        <v>45</v>
      </c>
      <c r="B7" s="10" t="s">
        <v>1336</v>
      </c>
      <c r="C7" s="10" t="s">
        <v>1337</v>
      </c>
      <c r="D7" s="10" t="s">
        <v>1353</v>
      </c>
      <c r="E7" s="10" t="s">
        <v>1354</v>
      </c>
      <c r="F7" s="10" t="s">
        <v>1355</v>
      </c>
      <c r="G7" s="10" t="s">
        <v>1341</v>
      </c>
      <c r="H7" s="10" t="s">
        <v>1342</v>
      </c>
      <c r="I7" s="10" t="s">
        <v>1356</v>
      </c>
      <c r="J7" s="10" t="s">
        <v>1357</v>
      </c>
      <c r="K7" s="10" t="s">
        <v>1358</v>
      </c>
      <c r="L7" s="10" t="s">
        <v>1359</v>
      </c>
      <c r="M7" s="10" t="s">
        <v>236</v>
      </c>
    </row>
    <row r="8" spans="1:13" ht="50.1" customHeight="1">
      <c r="A8" s="11" t="s">
        <v>45</v>
      </c>
      <c r="B8" s="11" t="s">
        <v>1336</v>
      </c>
      <c r="C8" s="11" t="s">
        <v>1360</v>
      </c>
      <c r="D8" s="11" t="s">
        <v>1361</v>
      </c>
      <c r="E8" s="11" t="s">
        <v>1362</v>
      </c>
      <c r="F8" s="11" t="s">
        <v>1363</v>
      </c>
      <c r="G8" s="11" t="s">
        <v>1341</v>
      </c>
      <c r="H8" s="11" t="s">
        <v>1342</v>
      </c>
      <c r="I8" s="11" t="s">
        <v>1343</v>
      </c>
      <c r="J8" s="11" t="s">
        <v>1364</v>
      </c>
      <c r="K8" s="11" t="s">
        <v>1365</v>
      </c>
      <c r="L8" s="11" t="s">
        <v>1366</v>
      </c>
      <c r="M8" s="11" t="s">
        <v>87</v>
      </c>
    </row>
    <row r="9" spans="1:13" ht="50.1" customHeight="1">
      <c r="A9" s="10" t="s">
        <v>45</v>
      </c>
      <c r="B9" s="10" t="s">
        <v>1336</v>
      </c>
      <c r="C9" s="10" t="s">
        <v>1367</v>
      </c>
      <c r="D9" s="10" t="s">
        <v>1368</v>
      </c>
      <c r="E9" s="10" t="s">
        <v>1369</v>
      </c>
      <c r="F9" s="10" t="s">
        <v>1370</v>
      </c>
      <c r="G9" s="10" t="s">
        <v>1341</v>
      </c>
      <c r="H9" s="10" t="s">
        <v>1342</v>
      </c>
      <c r="I9" s="10" t="s">
        <v>1356</v>
      </c>
      <c r="J9" s="10" t="s">
        <v>1371</v>
      </c>
      <c r="K9" s="10" t="s">
        <v>1372</v>
      </c>
      <c r="L9" s="10" t="s">
        <v>1373</v>
      </c>
      <c r="M9" s="10" t="s">
        <v>87</v>
      </c>
    </row>
    <row r="10" spans="1:13" ht="50.1" customHeight="1">
      <c r="A10" s="11" t="s">
        <v>45</v>
      </c>
      <c r="B10" s="11" t="s">
        <v>1336</v>
      </c>
      <c r="C10" s="11" t="s">
        <v>1367</v>
      </c>
      <c r="D10" s="11" t="s">
        <v>1374</v>
      </c>
      <c r="E10" s="11" t="s">
        <v>1375</v>
      </c>
      <c r="F10" s="11" t="s">
        <v>1376</v>
      </c>
      <c r="G10" s="11" t="s">
        <v>1341</v>
      </c>
      <c r="H10" s="11" t="s">
        <v>1342</v>
      </c>
      <c r="I10" s="11" t="s">
        <v>1356</v>
      </c>
      <c r="J10" s="11" t="s">
        <v>1377</v>
      </c>
      <c r="K10" s="11" t="s">
        <v>1378</v>
      </c>
      <c r="L10" s="11" t="s">
        <v>1379</v>
      </c>
      <c r="M10" s="11" t="s">
        <v>87</v>
      </c>
    </row>
    <row r="11" spans="1:13" ht="50.1" customHeight="1">
      <c r="A11" s="10" t="s">
        <v>45</v>
      </c>
      <c r="B11" s="10" t="s">
        <v>1336</v>
      </c>
      <c r="C11" s="10" t="s">
        <v>1367</v>
      </c>
      <c r="D11" s="10" t="s">
        <v>1380</v>
      </c>
      <c r="E11" s="10" t="s">
        <v>1381</v>
      </c>
      <c r="F11" s="10" t="s">
        <v>1382</v>
      </c>
      <c r="G11" s="10" t="s">
        <v>1341</v>
      </c>
      <c r="H11" s="10" t="s">
        <v>1342</v>
      </c>
      <c r="I11" s="10" t="s">
        <v>1356</v>
      </c>
      <c r="J11" s="10" t="s">
        <v>1383</v>
      </c>
      <c r="K11" s="10" t="s">
        <v>1384</v>
      </c>
      <c r="L11" s="10" t="s">
        <v>1385</v>
      </c>
      <c r="M11" s="10" t="s">
        <v>87</v>
      </c>
    </row>
    <row r="12" spans="1:13" ht="50.1" customHeight="1">
      <c r="A12" s="11" t="s">
        <v>45</v>
      </c>
      <c r="B12" s="11" t="s">
        <v>1336</v>
      </c>
      <c r="C12" s="11" t="s">
        <v>1386</v>
      </c>
      <c r="D12" s="11" t="s">
        <v>1387</v>
      </c>
      <c r="E12" s="11" t="s">
        <v>1388</v>
      </c>
      <c r="F12" s="11" t="s">
        <v>1389</v>
      </c>
      <c r="G12" s="11" t="s">
        <v>1341</v>
      </c>
      <c r="H12" s="11" t="s">
        <v>1342</v>
      </c>
      <c r="I12" s="11" t="s">
        <v>1356</v>
      </c>
      <c r="J12" s="11" t="s">
        <v>1390</v>
      </c>
      <c r="K12" s="11" t="s">
        <v>1391</v>
      </c>
      <c r="L12" s="11" t="s">
        <v>1392</v>
      </c>
      <c r="M12" s="11" t="s">
        <v>87</v>
      </c>
    </row>
    <row r="13" spans="1:13" ht="50.1" customHeight="1">
      <c r="A13" s="10" t="s">
        <v>45</v>
      </c>
      <c r="B13" s="10" t="s">
        <v>1336</v>
      </c>
      <c r="C13" s="10" t="s">
        <v>1393</v>
      </c>
      <c r="D13" s="10" t="s">
        <v>1394</v>
      </c>
      <c r="E13" s="10" t="s">
        <v>1395</v>
      </c>
      <c r="F13" s="10" t="s">
        <v>1396</v>
      </c>
      <c r="G13" s="10" t="s">
        <v>1341</v>
      </c>
      <c r="H13" s="10" t="s">
        <v>1342</v>
      </c>
      <c r="I13" s="10" t="s">
        <v>1356</v>
      </c>
      <c r="J13" s="10" t="s">
        <v>1397</v>
      </c>
      <c r="K13" s="10" t="s">
        <v>1398</v>
      </c>
      <c r="L13" s="10" t="s">
        <v>1399</v>
      </c>
      <c r="M13" s="10" t="s">
        <v>87</v>
      </c>
    </row>
    <row r="14" spans="1:13" ht="21.95" customHeight="1">
      <c r="A14" s="58" t="s">
        <v>1400</v>
      </c>
      <c r="B14" s="75"/>
      <c r="C14" s="75"/>
      <c r="D14" s="75"/>
      <c r="E14" s="75"/>
      <c r="F14" s="75"/>
      <c r="G14" s="75"/>
      <c r="H14" s="75"/>
      <c r="I14" s="75"/>
      <c r="J14" s="75"/>
      <c r="K14" s="75"/>
      <c r="L14" s="75"/>
      <c r="M14" s="75"/>
    </row>
    <row r="15" spans="1:13" ht="50.1" customHeight="1">
      <c r="A15" s="10" t="s">
        <v>45</v>
      </c>
      <c r="B15" s="10" t="s">
        <v>1401</v>
      </c>
      <c r="C15" s="10" t="s">
        <v>1402</v>
      </c>
      <c r="D15" s="10" t="s">
        <v>1403</v>
      </c>
      <c r="E15" s="10" t="s">
        <v>1404</v>
      </c>
      <c r="F15" s="10" t="s">
        <v>1405</v>
      </c>
      <c r="G15" s="10" t="s">
        <v>1341</v>
      </c>
      <c r="H15" s="10" t="s">
        <v>1342</v>
      </c>
      <c r="I15" s="10" t="s">
        <v>1343</v>
      </c>
      <c r="J15" s="10" t="s">
        <v>1406</v>
      </c>
      <c r="K15" s="10" t="s">
        <v>1407</v>
      </c>
      <c r="L15" s="10" t="s">
        <v>1408</v>
      </c>
      <c r="M15" s="10" t="s">
        <v>236</v>
      </c>
    </row>
    <row r="16" spans="1:13" ht="50.1" customHeight="1">
      <c r="A16" s="11" t="s">
        <v>45</v>
      </c>
      <c r="B16" s="11" t="s">
        <v>1401</v>
      </c>
      <c r="C16" s="11" t="s">
        <v>1409</v>
      </c>
      <c r="D16" s="11" t="s">
        <v>1410</v>
      </c>
      <c r="E16" s="11" t="s">
        <v>1411</v>
      </c>
      <c r="F16" s="11" t="s">
        <v>1412</v>
      </c>
      <c r="G16" s="11" t="s">
        <v>1341</v>
      </c>
      <c r="H16" s="11" t="s">
        <v>1342</v>
      </c>
      <c r="I16" s="11" t="s">
        <v>1343</v>
      </c>
      <c r="J16" s="11" t="s">
        <v>1413</v>
      </c>
      <c r="K16" s="11" t="s">
        <v>1414</v>
      </c>
      <c r="L16" s="11" t="s">
        <v>1415</v>
      </c>
      <c r="M16" s="11" t="s">
        <v>87</v>
      </c>
    </row>
    <row r="17" spans="1:13" ht="50.1" customHeight="1">
      <c r="A17" s="10" t="s">
        <v>45</v>
      </c>
      <c r="B17" s="10" t="s">
        <v>1401</v>
      </c>
      <c r="C17" s="10" t="s">
        <v>1416</v>
      </c>
      <c r="D17" s="10" t="s">
        <v>1417</v>
      </c>
      <c r="E17" s="10" t="s">
        <v>1418</v>
      </c>
      <c r="F17" s="10" t="s">
        <v>1419</v>
      </c>
      <c r="G17" s="10" t="s">
        <v>1341</v>
      </c>
      <c r="H17" s="10" t="s">
        <v>1342</v>
      </c>
      <c r="I17" s="10" t="s">
        <v>1343</v>
      </c>
      <c r="J17" s="10" t="s">
        <v>1420</v>
      </c>
      <c r="K17" s="10" t="s">
        <v>1421</v>
      </c>
      <c r="L17" s="10" t="s">
        <v>1422</v>
      </c>
      <c r="M17" s="10" t="s">
        <v>87</v>
      </c>
    </row>
    <row r="18" spans="1:13" ht="50.1" customHeight="1">
      <c r="A18" s="11" t="s">
        <v>45</v>
      </c>
      <c r="B18" s="11" t="s">
        <v>1401</v>
      </c>
      <c r="C18" s="11" t="s">
        <v>1423</v>
      </c>
      <c r="D18" s="11" t="s">
        <v>1424</v>
      </c>
      <c r="E18" s="11" t="s">
        <v>1425</v>
      </c>
      <c r="F18" s="11" t="s">
        <v>1426</v>
      </c>
      <c r="G18" s="11" t="s">
        <v>1427</v>
      </c>
      <c r="H18" s="11" t="s">
        <v>1428</v>
      </c>
      <c r="I18" s="11" t="s">
        <v>1429</v>
      </c>
      <c r="J18" s="11" t="s">
        <v>1430</v>
      </c>
      <c r="K18" s="11" t="s">
        <v>1431</v>
      </c>
      <c r="L18" s="11" t="s">
        <v>1432</v>
      </c>
      <c r="M18" s="11" t="s">
        <v>87</v>
      </c>
    </row>
    <row r="19" spans="1:13" ht="50.1" customHeight="1">
      <c r="A19" s="10" t="s">
        <v>45</v>
      </c>
      <c r="B19" s="10" t="s">
        <v>1401</v>
      </c>
      <c r="C19" s="10" t="s">
        <v>1433</v>
      </c>
      <c r="D19" s="10" t="s">
        <v>1434</v>
      </c>
      <c r="E19" s="10" t="s">
        <v>1435</v>
      </c>
      <c r="F19" s="10" t="s">
        <v>1436</v>
      </c>
      <c r="G19" s="10" t="s">
        <v>1341</v>
      </c>
      <c r="H19" s="10" t="s">
        <v>1342</v>
      </c>
      <c r="I19" s="10" t="s">
        <v>1437</v>
      </c>
      <c r="J19" s="10" t="s">
        <v>1438</v>
      </c>
      <c r="K19" s="10" t="s">
        <v>1439</v>
      </c>
      <c r="L19" s="10" t="s">
        <v>1440</v>
      </c>
      <c r="M19" s="10" t="s">
        <v>87</v>
      </c>
    </row>
    <row r="20" spans="1:13" ht="21.95" customHeight="1">
      <c r="A20" s="58" t="s">
        <v>1441</v>
      </c>
      <c r="B20" s="75"/>
      <c r="C20" s="75"/>
      <c r="D20" s="75"/>
      <c r="E20" s="75"/>
      <c r="F20" s="75"/>
      <c r="G20" s="75"/>
      <c r="H20" s="75"/>
      <c r="I20" s="75"/>
      <c r="J20" s="75"/>
      <c r="K20" s="75"/>
      <c r="L20" s="75"/>
      <c r="M20" s="75"/>
    </row>
    <row r="21" spans="1:13" ht="50.1" customHeight="1">
      <c r="A21" s="10" t="s">
        <v>45</v>
      </c>
      <c r="B21" s="10" t="s">
        <v>1442</v>
      </c>
      <c r="C21" s="10" t="s">
        <v>1443</v>
      </c>
      <c r="D21" s="10" t="s">
        <v>1444</v>
      </c>
      <c r="E21" s="10" t="s">
        <v>1445</v>
      </c>
      <c r="F21" s="10" t="s">
        <v>1446</v>
      </c>
      <c r="G21" s="10" t="s">
        <v>1341</v>
      </c>
      <c r="H21" s="10" t="s">
        <v>1342</v>
      </c>
      <c r="I21" s="10" t="s">
        <v>1343</v>
      </c>
      <c r="J21" s="10" t="s">
        <v>1447</v>
      </c>
      <c r="K21" s="10" t="s">
        <v>1448</v>
      </c>
      <c r="L21" s="10" t="s">
        <v>1449</v>
      </c>
      <c r="M21" s="10" t="s">
        <v>553</v>
      </c>
    </row>
    <row r="22" spans="1:13" ht="50.1" customHeight="1">
      <c r="A22" s="11" t="s">
        <v>45</v>
      </c>
      <c r="B22" s="11" t="s">
        <v>1442</v>
      </c>
      <c r="C22" s="11" t="s">
        <v>1450</v>
      </c>
      <c r="D22" s="11" t="s">
        <v>1451</v>
      </c>
      <c r="E22" s="11" t="s">
        <v>1452</v>
      </c>
      <c r="F22" s="11" t="s">
        <v>1453</v>
      </c>
      <c r="G22" s="11" t="s">
        <v>1341</v>
      </c>
      <c r="H22" s="11" t="s">
        <v>1342</v>
      </c>
      <c r="I22" s="11" t="s">
        <v>1454</v>
      </c>
      <c r="J22" s="11" t="s">
        <v>1455</v>
      </c>
      <c r="K22" s="11" t="s">
        <v>1456</v>
      </c>
      <c r="L22" s="11" t="s">
        <v>1457</v>
      </c>
      <c r="M22" s="11" t="s">
        <v>236</v>
      </c>
    </row>
    <row r="23" spans="1:13" ht="50.1" customHeight="1">
      <c r="A23" s="10" t="s">
        <v>45</v>
      </c>
      <c r="B23" s="10" t="s">
        <v>1458</v>
      </c>
      <c r="C23" s="10" t="s">
        <v>1459</v>
      </c>
      <c r="D23" s="10" t="s">
        <v>1460</v>
      </c>
      <c r="E23" s="10" t="s">
        <v>1461</v>
      </c>
      <c r="F23" s="10" t="s">
        <v>1462</v>
      </c>
      <c r="G23" s="10" t="s">
        <v>1341</v>
      </c>
      <c r="H23" s="10" t="s">
        <v>1342</v>
      </c>
      <c r="I23" s="10" t="s">
        <v>1454</v>
      </c>
      <c r="J23" s="10" t="s">
        <v>1463</v>
      </c>
      <c r="K23" s="10" t="s">
        <v>1464</v>
      </c>
      <c r="L23" s="10" t="s">
        <v>1465</v>
      </c>
      <c r="M23" s="10" t="s">
        <v>236</v>
      </c>
    </row>
    <row r="24" spans="1:13" ht="50.1" customHeight="1">
      <c r="A24" s="11" t="s">
        <v>45</v>
      </c>
      <c r="B24" s="11" t="s">
        <v>1458</v>
      </c>
      <c r="C24" s="11" t="s">
        <v>1466</v>
      </c>
      <c r="D24" s="11" t="s">
        <v>1467</v>
      </c>
      <c r="E24" s="11" t="s">
        <v>1468</v>
      </c>
      <c r="F24" s="11" t="s">
        <v>1469</v>
      </c>
      <c r="G24" s="11" t="s">
        <v>1341</v>
      </c>
      <c r="H24" s="11" t="s">
        <v>1342</v>
      </c>
      <c r="I24" s="11" t="s">
        <v>1454</v>
      </c>
      <c r="J24" s="11" t="s">
        <v>1470</v>
      </c>
      <c r="K24" s="11" t="s">
        <v>1471</v>
      </c>
      <c r="L24" s="11" t="s">
        <v>1472</v>
      </c>
      <c r="M24" s="11" t="s">
        <v>87</v>
      </c>
    </row>
    <row r="25" spans="1:13" ht="50.1" customHeight="1">
      <c r="A25" s="10" t="s">
        <v>45</v>
      </c>
      <c r="B25" s="10" t="s">
        <v>1442</v>
      </c>
      <c r="C25" s="10" t="s">
        <v>1473</v>
      </c>
      <c r="D25" s="10" t="s">
        <v>1474</v>
      </c>
      <c r="E25" s="10" t="s">
        <v>1475</v>
      </c>
      <c r="F25" s="10" t="s">
        <v>1476</v>
      </c>
      <c r="G25" s="10" t="s">
        <v>1341</v>
      </c>
      <c r="H25" s="10" t="s">
        <v>1342</v>
      </c>
      <c r="I25" s="10" t="s">
        <v>1477</v>
      </c>
      <c r="J25" s="10" t="s">
        <v>1478</v>
      </c>
      <c r="K25" s="10" t="s">
        <v>1479</v>
      </c>
      <c r="L25" s="10" t="s">
        <v>1480</v>
      </c>
      <c r="M25" s="10" t="s">
        <v>87</v>
      </c>
    </row>
    <row r="26" spans="1:13" ht="50.1" customHeight="1">
      <c r="A26" s="11" t="s">
        <v>45</v>
      </c>
      <c r="B26" s="11" t="s">
        <v>1442</v>
      </c>
      <c r="C26" s="11" t="s">
        <v>1481</v>
      </c>
      <c r="D26" s="11" t="s">
        <v>1482</v>
      </c>
      <c r="E26" s="11" t="s">
        <v>1483</v>
      </c>
      <c r="F26" s="11" t="s">
        <v>1484</v>
      </c>
      <c r="G26" s="11" t="s">
        <v>1341</v>
      </c>
      <c r="H26" s="11" t="s">
        <v>1342</v>
      </c>
      <c r="I26" s="11" t="s">
        <v>1454</v>
      </c>
      <c r="J26" s="11" t="s">
        <v>1485</v>
      </c>
      <c r="K26" s="11" t="s">
        <v>1486</v>
      </c>
      <c r="L26" s="11" t="s">
        <v>1487</v>
      </c>
      <c r="M26" s="11" t="s">
        <v>87</v>
      </c>
    </row>
  </sheetData>
  <autoFilter ref="A3:M26" xr:uid="{00000000-0001-0000-0200-000000000000}"/>
  <mergeCells count="5">
    <mergeCell ref="A4:M4"/>
    <mergeCell ref="A20:M20"/>
    <mergeCell ref="A2:M2"/>
    <mergeCell ref="A14:M14"/>
    <mergeCell ref="A1:M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1588-8B2D-46CD-B028-51994183F3B9}">
  <dimension ref="A1:P15"/>
  <sheetViews>
    <sheetView workbookViewId="0">
      <pane ySplit="3" topLeftCell="C4" activePane="bottomLeft" state="frozen"/>
      <selection pane="bottomLeft" activeCell="C3" sqref="C3"/>
    </sheetView>
  </sheetViews>
  <sheetFormatPr defaultColWidth="8.85546875" defaultRowHeight="15"/>
  <cols>
    <col min="1" max="1" width="18" customWidth="1"/>
    <col min="2" max="2" width="22" customWidth="1"/>
    <col min="3" max="3" width="28" customWidth="1"/>
    <col min="4" max="5" width="30" customWidth="1"/>
    <col min="6" max="6" width="45" customWidth="1"/>
    <col min="7" max="7" width="22" customWidth="1"/>
    <col min="8" max="8" width="14" customWidth="1"/>
    <col min="9" max="9" width="35" customWidth="1"/>
    <col min="10" max="10" width="20" customWidth="1"/>
    <col min="11" max="11" width="14" customWidth="1"/>
    <col min="12" max="12" width="30" customWidth="1"/>
    <col min="13" max="13" width="45" customWidth="1"/>
    <col min="14" max="15" width="35" customWidth="1"/>
    <col min="16" max="16" width="18" customWidth="1"/>
  </cols>
  <sheetData>
    <row r="1" spans="1:16" ht="24.95" customHeight="1">
      <c r="A1" s="62" t="s">
        <v>1488</v>
      </c>
      <c r="B1" s="75"/>
      <c r="C1" s="75"/>
      <c r="D1" s="75"/>
      <c r="E1" s="75"/>
      <c r="F1" s="75"/>
      <c r="G1" s="75"/>
      <c r="H1" s="75"/>
      <c r="I1" s="75"/>
      <c r="J1" s="75"/>
      <c r="K1" s="75"/>
      <c r="L1" s="75"/>
      <c r="M1" s="75"/>
      <c r="N1" s="75"/>
      <c r="O1" s="75"/>
      <c r="P1" s="75"/>
    </row>
    <row r="2" spans="1:16" ht="20.100000000000001" customHeight="1">
      <c r="A2" s="63" t="s">
        <v>1489</v>
      </c>
      <c r="B2" s="75"/>
      <c r="C2" s="75"/>
      <c r="D2" s="75"/>
      <c r="E2" s="75"/>
      <c r="F2" s="75"/>
      <c r="G2" s="75"/>
      <c r="H2" s="75"/>
      <c r="I2" s="75"/>
      <c r="J2" s="75"/>
      <c r="K2" s="75"/>
      <c r="L2" s="75"/>
      <c r="M2" s="75"/>
      <c r="N2" s="75"/>
      <c r="O2" s="75"/>
      <c r="P2" s="75"/>
    </row>
    <row r="3" spans="1:16" ht="35.1" customHeight="1">
      <c r="A3" s="21" t="s">
        <v>14</v>
      </c>
      <c r="B3" s="21" t="s">
        <v>16</v>
      </c>
      <c r="C3" s="21" t="s">
        <v>18</v>
      </c>
      <c r="D3" s="21" t="s">
        <v>20</v>
      </c>
      <c r="E3" s="21" t="s">
        <v>22</v>
      </c>
      <c r="F3" s="21" t="s">
        <v>24</v>
      </c>
      <c r="G3" s="21" t="s">
        <v>26</v>
      </c>
      <c r="H3" s="21" t="s">
        <v>1490</v>
      </c>
      <c r="I3" s="21" t="s">
        <v>54</v>
      </c>
      <c r="J3" s="21" t="s">
        <v>1491</v>
      </c>
      <c r="K3" s="21" t="s">
        <v>1492</v>
      </c>
      <c r="L3" s="21" t="s">
        <v>1493</v>
      </c>
      <c r="M3" s="21" t="s">
        <v>34</v>
      </c>
      <c r="N3" s="21" t="s">
        <v>36</v>
      </c>
      <c r="O3" s="21" t="s">
        <v>38</v>
      </c>
      <c r="P3" s="21" t="s">
        <v>40</v>
      </c>
    </row>
    <row r="4" spans="1:16" ht="18" customHeight="1">
      <c r="A4" s="61" t="s">
        <v>1494</v>
      </c>
      <c r="B4" s="75"/>
      <c r="C4" s="75"/>
      <c r="D4" s="75"/>
      <c r="E4" s="75"/>
      <c r="F4" s="75"/>
      <c r="G4" s="75"/>
      <c r="H4" s="75"/>
      <c r="I4" s="75"/>
      <c r="J4" s="75"/>
      <c r="K4" s="75"/>
      <c r="L4" s="75"/>
      <c r="M4" s="75"/>
      <c r="N4" s="75"/>
      <c r="O4" s="75"/>
      <c r="P4" s="75"/>
    </row>
    <row r="5" spans="1:16" ht="60" customHeight="1">
      <c r="A5" s="22" t="s">
        <v>1495</v>
      </c>
      <c r="B5" s="22" t="s">
        <v>1496</v>
      </c>
      <c r="C5" s="22" t="s">
        <v>1497</v>
      </c>
      <c r="D5" s="22" t="s">
        <v>1498</v>
      </c>
      <c r="E5" s="22" t="s">
        <v>1499</v>
      </c>
      <c r="F5" s="22" t="s">
        <v>1500</v>
      </c>
      <c r="G5" s="22" t="s">
        <v>1501</v>
      </c>
      <c r="H5" s="22" t="s">
        <v>72</v>
      </c>
      <c r="I5" s="22" t="s">
        <v>1502</v>
      </c>
      <c r="J5" s="22" t="s">
        <v>1503</v>
      </c>
      <c r="K5" s="22" t="s">
        <v>72</v>
      </c>
      <c r="L5" s="22" t="s">
        <v>1504</v>
      </c>
      <c r="M5" s="22" t="s">
        <v>1505</v>
      </c>
      <c r="N5" s="22" t="s">
        <v>1506</v>
      </c>
      <c r="O5" s="22" t="s">
        <v>1507</v>
      </c>
      <c r="P5" s="22" t="s">
        <v>87</v>
      </c>
    </row>
    <row r="6" spans="1:16" ht="60" customHeight="1">
      <c r="A6" s="23" t="s">
        <v>1495</v>
      </c>
      <c r="B6" s="23" t="s">
        <v>1496</v>
      </c>
      <c r="C6" s="23" t="s">
        <v>1497</v>
      </c>
      <c r="D6" s="23" t="s">
        <v>1508</v>
      </c>
      <c r="E6" s="23" t="s">
        <v>1509</v>
      </c>
      <c r="F6" s="23" t="s">
        <v>1510</v>
      </c>
      <c r="G6" s="23" t="s">
        <v>1511</v>
      </c>
      <c r="H6" s="23" t="s">
        <v>72</v>
      </c>
      <c r="I6" s="23" t="s">
        <v>1512</v>
      </c>
      <c r="J6" s="23" t="s">
        <v>1513</v>
      </c>
      <c r="K6" s="23" t="s">
        <v>72</v>
      </c>
      <c r="L6" s="23" t="s">
        <v>1514</v>
      </c>
      <c r="M6" s="23" t="s">
        <v>1515</v>
      </c>
      <c r="N6" s="23" t="s">
        <v>1516</v>
      </c>
      <c r="O6" s="23" t="s">
        <v>1517</v>
      </c>
      <c r="P6" s="23" t="s">
        <v>87</v>
      </c>
    </row>
    <row r="7" spans="1:16" ht="60" customHeight="1">
      <c r="A7" s="22" t="s">
        <v>1495</v>
      </c>
      <c r="B7" s="22" t="s">
        <v>1496</v>
      </c>
      <c r="C7" s="22" t="s">
        <v>1497</v>
      </c>
      <c r="D7" s="22" t="s">
        <v>1518</v>
      </c>
      <c r="E7" s="22" t="s">
        <v>1519</v>
      </c>
      <c r="F7" s="22" t="s">
        <v>1520</v>
      </c>
      <c r="G7" s="22" t="s">
        <v>1521</v>
      </c>
      <c r="H7" s="22" t="s">
        <v>72</v>
      </c>
      <c r="I7" s="22" t="s">
        <v>1522</v>
      </c>
      <c r="J7" s="22" t="s">
        <v>1523</v>
      </c>
      <c r="K7" s="22" t="s">
        <v>72</v>
      </c>
      <c r="L7" s="22" t="s">
        <v>1524</v>
      </c>
      <c r="M7" s="22" t="s">
        <v>1525</v>
      </c>
      <c r="N7" s="22" t="s">
        <v>1526</v>
      </c>
      <c r="O7" s="22" t="s">
        <v>1527</v>
      </c>
      <c r="P7" s="22" t="s">
        <v>553</v>
      </c>
    </row>
    <row r="8" spans="1:16" ht="18" customHeight="1">
      <c r="A8" s="61" t="s">
        <v>1528</v>
      </c>
      <c r="B8" s="75"/>
      <c r="C8" s="75"/>
      <c r="D8" s="75"/>
      <c r="E8" s="75"/>
      <c r="F8" s="75"/>
      <c r="G8" s="75"/>
      <c r="H8" s="75"/>
      <c r="I8" s="75"/>
      <c r="J8" s="75"/>
      <c r="K8" s="75"/>
      <c r="L8" s="75"/>
      <c r="M8" s="75"/>
      <c r="N8" s="75"/>
      <c r="O8" s="75"/>
      <c r="P8" s="75"/>
    </row>
    <row r="9" spans="1:16" ht="60" customHeight="1">
      <c r="A9" s="23" t="s">
        <v>1495</v>
      </c>
      <c r="B9" s="23" t="s">
        <v>1529</v>
      </c>
      <c r="C9" s="23" t="s">
        <v>1530</v>
      </c>
      <c r="D9" s="23" t="s">
        <v>1531</v>
      </c>
      <c r="E9" s="23" t="s">
        <v>1532</v>
      </c>
      <c r="F9" s="23" t="s">
        <v>1533</v>
      </c>
      <c r="G9" s="23" t="s">
        <v>1534</v>
      </c>
      <c r="H9" s="23" t="s">
        <v>72</v>
      </c>
      <c r="I9" s="23" t="s">
        <v>1535</v>
      </c>
      <c r="J9" s="23" t="s">
        <v>1536</v>
      </c>
      <c r="K9" s="23" t="s">
        <v>72</v>
      </c>
      <c r="L9" s="23" t="s">
        <v>1537</v>
      </c>
      <c r="M9" s="23" t="s">
        <v>1538</v>
      </c>
      <c r="N9" s="23" t="s">
        <v>1539</v>
      </c>
      <c r="O9" s="23" t="s">
        <v>1540</v>
      </c>
      <c r="P9" s="23" t="s">
        <v>87</v>
      </c>
    </row>
    <row r="10" spans="1:16" ht="60" customHeight="1">
      <c r="A10" s="22" t="s">
        <v>1495</v>
      </c>
      <c r="B10" s="22" t="s">
        <v>1529</v>
      </c>
      <c r="C10" s="22" t="s">
        <v>1530</v>
      </c>
      <c r="D10" s="22" t="s">
        <v>1541</v>
      </c>
      <c r="E10" s="22" t="s">
        <v>1542</v>
      </c>
      <c r="F10" s="22" t="s">
        <v>1543</v>
      </c>
      <c r="G10" s="22" t="s">
        <v>1534</v>
      </c>
      <c r="H10" s="22" t="s">
        <v>72</v>
      </c>
      <c r="I10" s="22" t="s">
        <v>1544</v>
      </c>
      <c r="J10" s="22" t="s">
        <v>1536</v>
      </c>
      <c r="K10" s="22" t="s">
        <v>72</v>
      </c>
      <c r="L10" s="22" t="s">
        <v>1545</v>
      </c>
      <c r="M10" s="22" t="s">
        <v>1546</v>
      </c>
      <c r="N10" s="22" t="s">
        <v>1547</v>
      </c>
      <c r="O10" s="22" t="s">
        <v>1548</v>
      </c>
      <c r="P10" s="22" t="s">
        <v>87</v>
      </c>
    </row>
    <row r="11" spans="1:16" ht="60" customHeight="1">
      <c r="A11" s="23" t="s">
        <v>1495</v>
      </c>
      <c r="B11" s="23" t="s">
        <v>1529</v>
      </c>
      <c r="C11" s="23" t="s">
        <v>1530</v>
      </c>
      <c r="D11" s="23" t="s">
        <v>1549</v>
      </c>
      <c r="E11" s="23" t="s">
        <v>1550</v>
      </c>
      <c r="F11" s="23" t="s">
        <v>1551</v>
      </c>
      <c r="G11" s="23" t="s">
        <v>1552</v>
      </c>
      <c r="H11" s="23" t="s">
        <v>72</v>
      </c>
      <c r="I11" s="23" t="s">
        <v>1553</v>
      </c>
      <c r="J11" s="23" t="s">
        <v>1536</v>
      </c>
      <c r="K11" s="23" t="s">
        <v>72</v>
      </c>
      <c r="L11" s="23" t="s">
        <v>1545</v>
      </c>
      <c r="M11" s="23" t="s">
        <v>1554</v>
      </c>
      <c r="N11" s="23" t="s">
        <v>1555</v>
      </c>
      <c r="O11" s="23" t="s">
        <v>1556</v>
      </c>
      <c r="P11" s="23" t="s">
        <v>87</v>
      </c>
    </row>
    <row r="12" spans="1:16" ht="60" customHeight="1">
      <c r="A12" s="22" t="s">
        <v>1495</v>
      </c>
      <c r="B12" s="22" t="s">
        <v>1529</v>
      </c>
      <c r="C12" s="22" t="s">
        <v>1530</v>
      </c>
      <c r="D12" s="22" t="s">
        <v>1557</v>
      </c>
      <c r="E12" s="22" t="s">
        <v>1558</v>
      </c>
      <c r="F12" s="22" t="s">
        <v>1559</v>
      </c>
      <c r="G12" s="22" t="s">
        <v>1560</v>
      </c>
      <c r="H12" s="22" t="s">
        <v>72</v>
      </c>
      <c r="I12" s="22" t="s">
        <v>1561</v>
      </c>
      <c r="J12" s="22" t="s">
        <v>1536</v>
      </c>
      <c r="K12" s="22" t="s">
        <v>72</v>
      </c>
      <c r="L12" s="22" t="s">
        <v>1562</v>
      </c>
      <c r="M12" s="22" t="s">
        <v>1563</v>
      </c>
      <c r="N12" s="22" t="s">
        <v>1564</v>
      </c>
      <c r="O12" s="22" t="s">
        <v>1565</v>
      </c>
      <c r="P12" s="22" t="s">
        <v>87</v>
      </c>
    </row>
    <row r="13" spans="1:16" ht="18" customHeight="1">
      <c r="A13" s="61" t="s">
        <v>1566</v>
      </c>
      <c r="B13" s="75"/>
      <c r="C13" s="75"/>
      <c r="D13" s="75"/>
      <c r="E13" s="75"/>
      <c r="F13" s="75"/>
      <c r="G13" s="75"/>
      <c r="H13" s="75"/>
      <c r="I13" s="75"/>
      <c r="J13" s="75"/>
      <c r="K13" s="75"/>
      <c r="L13" s="75"/>
      <c r="M13" s="75"/>
      <c r="N13" s="75"/>
      <c r="O13" s="75"/>
      <c r="P13" s="75"/>
    </row>
    <row r="14" spans="1:16" ht="60" customHeight="1">
      <c r="A14" s="23" t="s">
        <v>1495</v>
      </c>
      <c r="B14" s="23" t="s">
        <v>1567</v>
      </c>
      <c r="C14" s="23" t="s">
        <v>1568</v>
      </c>
      <c r="D14" s="23" t="s">
        <v>1569</v>
      </c>
      <c r="E14" s="23" t="s">
        <v>1570</v>
      </c>
      <c r="F14" s="23" t="s">
        <v>1571</v>
      </c>
      <c r="G14" s="23" t="s">
        <v>1572</v>
      </c>
      <c r="H14" s="23" t="s">
        <v>72</v>
      </c>
      <c r="I14" s="23" t="s">
        <v>1573</v>
      </c>
      <c r="J14" s="23" t="s">
        <v>1574</v>
      </c>
      <c r="K14" s="23" t="s">
        <v>72</v>
      </c>
      <c r="L14" s="23" t="s">
        <v>1575</v>
      </c>
      <c r="M14" s="23" t="s">
        <v>1576</v>
      </c>
      <c r="N14" s="23" t="s">
        <v>1577</v>
      </c>
      <c r="O14" s="23" t="s">
        <v>1578</v>
      </c>
      <c r="P14" s="23" t="s">
        <v>236</v>
      </c>
    </row>
    <row r="15" spans="1:16" ht="60" customHeight="1">
      <c r="A15" s="22" t="s">
        <v>1495</v>
      </c>
      <c r="B15" s="22" t="s">
        <v>1567</v>
      </c>
      <c r="C15" s="22" t="s">
        <v>1579</v>
      </c>
      <c r="D15" s="22" t="s">
        <v>1580</v>
      </c>
      <c r="E15" s="22" t="s">
        <v>1581</v>
      </c>
      <c r="F15" s="22" t="s">
        <v>1582</v>
      </c>
      <c r="G15" s="22" t="s">
        <v>1583</v>
      </c>
      <c r="H15" s="22" t="s">
        <v>72</v>
      </c>
      <c r="I15" s="22" t="s">
        <v>1584</v>
      </c>
      <c r="J15" s="22" t="s">
        <v>1585</v>
      </c>
      <c r="K15" s="22" t="s">
        <v>72</v>
      </c>
      <c r="L15" s="22" t="s">
        <v>1586</v>
      </c>
      <c r="M15" s="22" t="s">
        <v>1587</v>
      </c>
      <c r="N15" s="22" t="s">
        <v>1588</v>
      </c>
      <c r="O15" s="22" t="s">
        <v>1589</v>
      </c>
      <c r="P15" s="22" t="s">
        <v>553</v>
      </c>
    </row>
  </sheetData>
  <autoFilter ref="A1:P15" xr:uid="{E3571588-8B2D-46CD-B028-51994183F3B9}">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mergeCells count="5">
    <mergeCell ref="A13:P13"/>
    <mergeCell ref="A1:P1"/>
    <mergeCell ref="A2:P2"/>
    <mergeCell ref="A4:P4"/>
    <mergeCell ref="A8:P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4051-0A72-49B2-BA13-3EA57F7AA56E}">
  <dimension ref="A1:P25"/>
  <sheetViews>
    <sheetView workbookViewId="0">
      <pane ySplit="3" topLeftCell="A15" activePane="bottomLeft" state="frozen"/>
      <selection pane="bottomLeft" activeCell="B24" sqref="B24"/>
    </sheetView>
  </sheetViews>
  <sheetFormatPr defaultColWidth="8.85546875" defaultRowHeight="15"/>
  <cols>
    <col min="1" max="1" width="18" customWidth="1"/>
    <col min="2" max="2" width="22" customWidth="1"/>
    <col min="3" max="3" width="28" customWidth="1"/>
    <col min="4" max="5" width="30" customWidth="1"/>
    <col min="6" max="6" width="45" customWidth="1"/>
    <col min="7" max="7" width="22" customWidth="1"/>
    <col min="8" max="8" width="14" customWidth="1"/>
    <col min="9" max="9" width="35" customWidth="1"/>
    <col min="10" max="11" width="20" customWidth="1"/>
    <col min="12" max="12" width="14" customWidth="1"/>
    <col min="13" max="13" width="45" customWidth="1"/>
    <col min="14" max="15" width="35" customWidth="1"/>
    <col min="16" max="16" width="18" customWidth="1"/>
  </cols>
  <sheetData>
    <row r="1" spans="1:16" ht="24.95" customHeight="1">
      <c r="A1" s="62" t="s">
        <v>1590</v>
      </c>
      <c r="B1" s="75"/>
      <c r="C1" s="75"/>
      <c r="D1" s="75"/>
      <c r="E1" s="75"/>
      <c r="F1" s="75"/>
      <c r="G1" s="75"/>
      <c r="H1" s="75"/>
      <c r="I1" s="75"/>
      <c r="J1" s="75"/>
      <c r="K1" s="75"/>
      <c r="L1" s="75"/>
      <c r="M1" s="75"/>
      <c r="N1" s="75"/>
      <c r="O1" s="75"/>
      <c r="P1" s="75"/>
    </row>
    <row r="2" spans="1:16" ht="20.100000000000001" customHeight="1">
      <c r="A2" s="63" t="s">
        <v>1591</v>
      </c>
      <c r="B2" s="75"/>
      <c r="C2" s="75"/>
      <c r="D2" s="75"/>
      <c r="E2" s="75"/>
      <c r="F2" s="75"/>
      <c r="G2" s="75"/>
      <c r="H2" s="75"/>
      <c r="I2" s="75"/>
      <c r="J2" s="75"/>
      <c r="K2" s="75"/>
      <c r="L2" s="75"/>
      <c r="M2" s="75"/>
      <c r="N2" s="75"/>
      <c r="O2" s="75"/>
      <c r="P2" s="75"/>
    </row>
    <row r="3" spans="1:16" ht="35.1" customHeight="1">
      <c r="A3" s="21" t="s">
        <v>14</v>
      </c>
      <c r="B3" s="21" t="s">
        <v>16</v>
      </c>
      <c r="C3" s="21" t="s">
        <v>18</v>
      </c>
      <c r="D3" s="21" t="s">
        <v>20</v>
      </c>
      <c r="E3" s="21" t="s">
        <v>22</v>
      </c>
      <c r="F3" s="21" t="s">
        <v>24</v>
      </c>
      <c r="G3" s="21" t="s">
        <v>26</v>
      </c>
      <c r="H3" s="21" t="s">
        <v>1490</v>
      </c>
      <c r="I3" s="21" t="s">
        <v>54</v>
      </c>
      <c r="J3" s="21" t="s">
        <v>28</v>
      </c>
      <c r="K3" s="21" t="s">
        <v>1491</v>
      </c>
      <c r="L3" s="21" t="s">
        <v>1492</v>
      </c>
      <c r="M3" s="21" t="s">
        <v>34</v>
      </c>
      <c r="N3" s="21" t="s">
        <v>36</v>
      </c>
      <c r="O3" s="21" t="s">
        <v>38</v>
      </c>
      <c r="P3" s="21" t="s">
        <v>40</v>
      </c>
    </row>
    <row r="4" spans="1:16" ht="18" customHeight="1">
      <c r="A4" s="61" t="s">
        <v>1592</v>
      </c>
      <c r="B4" s="75"/>
      <c r="C4" s="75"/>
      <c r="D4" s="75"/>
      <c r="E4" s="75"/>
      <c r="F4" s="75"/>
      <c r="G4" s="75"/>
      <c r="H4" s="75"/>
      <c r="I4" s="75"/>
      <c r="J4" s="75"/>
      <c r="K4" s="75"/>
      <c r="L4" s="75"/>
      <c r="M4" s="75"/>
      <c r="N4" s="75"/>
      <c r="O4" s="75"/>
      <c r="P4" s="75"/>
    </row>
    <row r="5" spans="1:16" ht="60" customHeight="1">
      <c r="A5" s="22" t="s">
        <v>1495</v>
      </c>
      <c r="B5" s="22" t="s">
        <v>1593</v>
      </c>
      <c r="C5" s="22" t="s">
        <v>1594</v>
      </c>
      <c r="D5" s="22" t="s">
        <v>1595</v>
      </c>
      <c r="E5" s="22" t="s">
        <v>1596</v>
      </c>
      <c r="F5" s="22" t="s">
        <v>1597</v>
      </c>
      <c r="G5" s="22" t="s">
        <v>1598</v>
      </c>
      <c r="H5" s="22" t="s">
        <v>72</v>
      </c>
      <c r="I5" s="22" t="s">
        <v>1599</v>
      </c>
      <c r="J5" s="22" t="s">
        <v>1600</v>
      </c>
      <c r="K5" s="22" t="s">
        <v>1601</v>
      </c>
      <c r="L5" s="22" t="s">
        <v>79</v>
      </c>
      <c r="M5" s="22" t="s">
        <v>1602</v>
      </c>
      <c r="N5" s="22" t="s">
        <v>1603</v>
      </c>
      <c r="O5" s="22" t="s">
        <v>1604</v>
      </c>
      <c r="P5" s="22" t="s">
        <v>1605</v>
      </c>
    </row>
    <row r="6" spans="1:16" ht="60" customHeight="1">
      <c r="A6" s="23" t="s">
        <v>1495</v>
      </c>
      <c r="B6" s="23" t="s">
        <v>1593</v>
      </c>
      <c r="C6" s="23" t="s">
        <v>1594</v>
      </c>
      <c r="D6" s="23" t="s">
        <v>1606</v>
      </c>
      <c r="E6" s="23" t="s">
        <v>1607</v>
      </c>
      <c r="F6" s="23" t="s">
        <v>1608</v>
      </c>
      <c r="G6" s="23" t="s">
        <v>1598</v>
      </c>
      <c r="H6" s="23" t="s">
        <v>72</v>
      </c>
      <c r="I6" s="23" t="s">
        <v>1609</v>
      </c>
      <c r="J6" s="23" t="s">
        <v>1600</v>
      </c>
      <c r="K6" s="23" t="s">
        <v>1601</v>
      </c>
      <c r="L6" s="23" t="s">
        <v>79</v>
      </c>
      <c r="M6" s="23" t="s">
        <v>1610</v>
      </c>
      <c r="N6" s="23" t="s">
        <v>1611</v>
      </c>
      <c r="O6" s="23" t="s">
        <v>1612</v>
      </c>
      <c r="P6" s="23" t="s">
        <v>1605</v>
      </c>
    </row>
    <row r="7" spans="1:16" ht="60" customHeight="1">
      <c r="A7" s="22" t="s">
        <v>1495</v>
      </c>
      <c r="B7" s="22" t="s">
        <v>1593</v>
      </c>
      <c r="C7" s="22" t="s">
        <v>1594</v>
      </c>
      <c r="D7" s="22" t="s">
        <v>1613</v>
      </c>
      <c r="E7" s="22" t="s">
        <v>1614</v>
      </c>
      <c r="F7" s="22" t="s">
        <v>1615</v>
      </c>
      <c r="G7" s="22" t="s">
        <v>1598</v>
      </c>
      <c r="H7" s="22" t="s">
        <v>72</v>
      </c>
      <c r="I7" s="22" t="s">
        <v>1616</v>
      </c>
      <c r="J7" s="22" t="s">
        <v>1600</v>
      </c>
      <c r="K7" s="22" t="s">
        <v>1601</v>
      </c>
      <c r="L7" s="22" t="s">
        <v>79</v>
      </c>
      <c r="M7" s="22" t="s">
        <v>1617</v>
      </c>
      <c r="N7" s="22" t="s">
        <v>1618</v>
      </c>
      <c r="O7" s="22" t="s">
        <v>1619</v>
      </c>
      <c r="P7" s="22" t="s">
        <v>1605</v>
      </c>
    </row>
    <row r="8" spans="1:16" ht="60" customHeight="1">
      <c r="A8" s="23" t="s">
        <v>1495</v>
      </c>
      <c r="B8" s="23" t="s">
        <v>1593</v>
      </c>
      <c r="C8" s="23" t="s">
        <v>1620</v>
      </c>
      <c r="D8" s="23" t="s">
        <v>1621</v>
      </c>
      <c r="E8" s="23" t="s">
        <v>1622</v>
      </c>
      <c r="F8" s="23" t="s">
        <v>1623</v>
      </c>
      <c r="G8" s="23" t="s">
        <v>1598</v>
      </c>
      <c r="H8" s="23" t="s">
        <v>72</v>
      </c>
      <c r="I8" s="23" t="s">
        <v>1624</v>
      </c>
      <c r="J8" s="23" t="s">
        <v>1625</v>
      </c>
      <c r="K8" s="23" t="s">
        <v>1601</v>
      </c>
      <c r="L8" s="23" t="s">
        <v>79</v>
      </c>
      <c r="M8" s="23" t="s">
        <v>1626</v>
      </c>
      <c r="N8" s="23" t="s">
        <v>1627</v>
      </c>
      <c r="O8" s="23" t="s">
        <v>1628</v>
      </c>
      <c r="P8" s="23" t="s">
        <v>1605</v>
      </c>
    </row>
    <row r="9" spans="1:16" ht="60" customHeight="1">
      <c r="A9" s="22" t="s">
        <v>1495</v>
      </c>
      <c r="B9" s="22" t="s">
        <v>1593</v>
      </c>
      <c r="C9" s="22" t="s">
        <v>1594</v>
      </c>
      <c r="D9" s="22" t="s">
        <v>1629</v>
      </c>
      <c r="E9" s="22" t="s">
        <v>1630</v>
      </c>
      <c r="F9" s="22" t="s">
        <v>1631</v>
      </c>
      <c r="G9" s="22" t="s">
        <v>1598</v>
      </c>
      <c r="H9" s="22" t="s">
        <v>72</v>
      </c>
      <c r="I9" s="22" t="s">
        <v>1632</v>
      </c>
      <c r="J9" s="22" t="s">
        <v>1633</v>
      </c>
      <c r="K9" s="22" t="s">
        <v>1601</v>
      </c>
      <c r="L9" s="22" t="s">
        <v>79</v>
      </c>
      <c r="M9" s="22" t="s">
        <v>1634</v>
      </c>
      <c r="N9" s="22" t="s">
        <v>1635</v>
      </c>
      <c r="O9" s="22" t="s">
        <v>1636</v>
      </c>
      <c r="P9" s="22" t="s">
        <v>1605</v>
      </c>
    </row>
    <row r="10" spans="1:16" ht="18" customHeight="1">
      <c r="A10" s="61" t="s">
        <v>1637</v>
      </c>
      <c r="B10" s="75"/>
      <c r="C10" s="75"/>
      <c r="D10" s="75"/>
      <c r="E10" s="75"/>
      <c r="F10" s="75"/>
      <c r="G10" s="75"/>
      <c r="H10" s="75"/>
      <c r="I10" s="75"/>
      <c r="J10" s="75"/>
      <c r="K10" s="75"/>
      <c r="L10" s="75"/>
      <c r="M10" s="75"/>
      <c r="N10" s="75"/>
      <c r="O10" s="75"/>
      <c r="P10" s="75"/>
    </row>
    <row r="11" spans="1:16" ht="60" customHeight="1">
      <c r="A11" s="23" t="s">
        <v>1495</v>
      </c>
      <c r="B11" s="23" t="s">
        <v>1638</v>
      </c>
      <c r="C11" s="23" t="s">
        <v>1639</v>
      </c>
      <c r="D11" s="23" t="s">
        <v>1640</v>
      </c>
      <c r="E11" s="23" t="s">
        <v>1641</v>
      </c>
      <c r="F11" s="23" t="s">
        <v>1642</v>
      </c>
      <c r="G11" s="23" t="s">
        <v>1643</v>
      </c>
      <c r="H11" s="23" t="s">
        <v>72</v>
      </c>
      <c r="I11" s="23" t="s">
        <v>1644</v>
      </c>
      <c r="J11" s="23" t="s">
        <v>1645</v>
      </c>
      <c r="K11" s="23" t="s">
        <v>1646</v>
      </c>
      <c r="L11" s="23" t="s">
        <v>79</v>
      </c>
      <c r="M11" s="23" t="s">
        <v>1647</v>
      </c>
      <c r="N11" s="23" t="s">
        <v>1648</v>
      </c>
      <c r="O11" s="23" t="s">
        <v>1649</v>
      </c>
      <c r="P11" s="23" t="s">
        <v>1605</v>
      </c>
    </row>
    <row r="12" spans="1:16" ht="60" customHeight="1">
      <c r="A12" s="22" t="s">
        <v>1495</v>
      </c>
      <c r="B12" s="22" t="s">
        <v>1638</v>
      </c>
      <c r="C12" s="22" t="s">
        <v>1650</v>
      </c>
      <c r="D12" s="22" t="s">
        <v>1651</v>
      </c>
      <c r="E12" s="22" t="s">
        <v>1652</v>
      </c>
      <c r="F12" s="22" t="s">
        <v>1653</v>
      </c>
      <c r="G12" s="22" t="s">
        <v>1654</v>
      </c>
      <c r="H12" s="22" t="s">
        <v>72</v>
      </c>
      <c r="I12" s="22" t="s">
        <v>1655</v>
      </c>
      <c r="J12" s="22" t="s">
        <v>1656</v>
      </c>
      <c r="K12" s="22" t="s">
        <v>1646</v>
      </c>
      <c r="L12" s="22" t="s">
        <v>79</v>
      </c>
      <c r="M12" s="22" t="s">
        <v>1657</v>
      </c>
      <c r="N12" s="22" t="s">
        <v>1658</v>
      </c>
      <c r="O12" s="22" t="s">
        <v>1659</v>
      </c>
      <c r="P12" s="22" t="s">
        <v>1605</v>
      </c>
    </row>
    <row r="13" spans="1:16" ht="60" customHeight="1">
      <c r="A13" s="23" t="s">
        <v>1495</v>
      </c>
      <c r="B13" s="23" t="s">
        <v>1638</v>
      </c>
      <c r="C13" s="23" t="s">
        <v>1660</v>
      </c>
      <c r="D13" s="23" t="s">
        <v>1661</v>
      </c>
      <c r="E13" s="23" t="s">
        <v>1662</v>
      </c>
      <c r="F13" s="23" t="s">
        <v>1663</v>
      </c>
      <c r="G13" s="23" t="s">
        <v>1645</v>
      </c>
      <c r="H13" s="23" t="s">
        <v>72</v>
      </c>
      <c r="I13" s="23" t="s">
        <v>1664</v>
      </c>
      <c r="J13" s="23" t="s">
        <v>1665</v>
      </c>
      <c r="K13" s="23" t="s">
        <v>1646</v>
      </c>
      <c r="L13" s="23" t="s">
        <v>79</v>
      </c>
      <c r="M13" s="23" t="s">
        <v>1666</v>
      </c>
      <c r="N13" s="23" t="s">
        <v>1667</v>
      </c>
      <c r="O13" s="23" t="s">
        <v>1668</v>
      </c>
      <c r="P13" s="23" t="s">
        <v>1605</v>
      </c>
    </row>
    <row r="14" spans="1:16" ht="60" customHeight="1">
      <c r="A14" s="22" t="s">
        <v>1495</v>
      </c>
      <c r="B14" s="22" t="s">
        <v>1638</v>
      </c>
      <c r="C14" s="22" t="s">
        <v>1669</v>
      </c>
      <c r="D14" s="22" t="s">
        <v>1670</v>
      </c>
      <c r="E14" s="22" t="s">
        <v>1671</v>
      </c>
      <c r="F14" s="22" t="s">
        <v>1672</v>
      </c>
      <c r="G14" s="22" t="s">
        <v>1598</v>
      </c>
      <c r="H14" s="22" t="s">
        <v>72</v>
      </c>
      <c r="I14" s="22" t="s">
        <v>1673</v>
      </c>
      <c r="J14" s="22" t="s">
        <v>1674</v>
      </c>
      <c r="K14" s="22" t="s">
        <v>1601</v>
      </c>
      <c r="L14" s="22" t="s">
        <v>79</v>
      </c>
      <c r="M14" s="22" t="s">
        <v>1675</v>
      </c>
      <c r="N14" s="22" t="s">
        <v>1676</v>
      </c>
      <c r="O14" s="22" t="s">
        <v>1677</v>
      </c>
      <c r="P14" s="22" t="s">
        <v>87</v>
      </c>
    </row>
    <row r="15" spans="1:16" ht="60" customHeight="1">
      <c r="A15" s="23" t="s">
        <v>1495</v>
      </c>
      <c r="B15" s="23" t="s">
        <v>1638</v>
      </c>
      <c r="C15" s="23" t="s">
        <v>1669</v>
      </c>
      <c r="D15" s="23" t="s">
        <v>1678</v>
      </c>
      <c r="E15" s="23" t="s">
        <v>1679</v>
      </c>
      <c r="F15" s="23" t="s">
        <v>1680</v>
      </c>
      <c r="G15" s="23" t="s">
        <v>1681</v>
      </c>
      <c r="H15" s="23" t="s">
        <v>72</v>
      </c>
      <c r="I15" s="23" t="s">
        <v>1682</v>
      </c>
      <c r="J15" s="23" t="s">
        <v>1598</v>
      </c>
      <c r="K15" s="23" t="s">
        <v>1683</v>
      </c>
      <c r="L15" s="23" t="s">
        <v>79</v>
      </c>
      <c r="M15" s="23" t="s">
        <v>1684</v>
      </c>
      <c r="N15" s="23" t="s">
        <v>1685</v>
      </c>
      <c r="O15" s="23" t="s">
        <v>1686</v>
      </c>
      <c r="P15" s="23" t="s">
        <v>1605</v>
      </c>
    </row>
    <row r="16" spans="1:16" ht="60" customHeight="1">
      <c r="A16" s="22" t="s">
        <v>1495</v>
      </c>
      <c r="B16" s="22" t="s">
        <v>1687</v>
      </c>
      <c r="C16" s="22" t="s">
        <v>1688</v>
      </c>
      <c r="D16" s="22" t="s">
        <v>1689</v>
      </c>
      <c r="E16" s="22" t="s">
        <v>1690</v>
      </c>
      <c r="F16" s="22" t="s">
        <v>1691</v>
      </c>
      <c r="G16" s="22" t="s">
        <v>1692</v>
      </c>
      <c r="H16" s="22" t="s">
        <v>72</v>
      </c>
      <c r="I16" s="22" t="s">
        <v>1693</v>
      </c>
      <c r="J16" s="22" t="s">
        <v>1694</v>
      </c>
      <c r="K16" s="22" t="s">
        <v>1646</v>
      </c>
      <c r="L16" s="22" t="s">
        <v>79</v>
      </c>
      <c r="M16" s="22" t="s">
        <v>1695</v>
      </c>
      <c r="N16" s="22" t="s">
        <v>1696</v>
      </c>
      <c r="O16" s="22" t="s">
        <v>1697</v>
      </c>
      <c r="P16" s="22" t="s">
        <v>1605</v>
      </c>
    </row>
    <row r="17" spans="1:16" ht="18" customHeight="1">
      <c r="A17" s="61" t="s">
        <v>1698</v>
      </c>
      <c r="B17" s="75"/>
      <c r="C17" s="75"/>
      <c r="D17" s="75"/>
      <c r="E17" s="75"/>
      <c r="F17" s="75"/>
      <c r="G17" s="75"/>
      <c r="H17" s="75"/>
      <c r="I17" s="75"/>
      <c r="J17" s="75"/>
      <c r="K17" s="75"/>
      <c r="L17" s="75"/>
      <c r="M17" s="75"/>
      <c r="N17" s="75"/>
      <c r="O17" s="75"/>
      <c r="P17" s="75"/>
    </row>
    <row r="18" spans="1:16" ht="60" customHeight="1">
      <c r="A18" s="23" t="s">
        <v>1495</v>
      </c>
      <c r="B18" s="23" t="s">
        <v>1699</v>
      </c>
      <c r="C18" s="23" t="s">
        <v>1700</v>
      </c>
      <c r="D18" s="23" t="s">
        <v>1701</v>
      </c>
      <c r="E18" s="23" t="s">
        <v>1702</v>
      </c>
      <c r="F18" s="23" t="s">
        <v>1703</v>
      </c>
      <c r="G18" s="23" t="s">
        <v>1598</v>
      </c>
      <c r="H18" s="23" t="s">
        <v>72</v>
      </c>
      <c r="I18" s="23" t="s">
        <v>1704</v>
      </c>
      <c r="J18" s="23" t="s">
        <v>1705</v>
      </c>
      <c r="K18" s="23" t="s">
        <v>1601</v>
      </c>
      <c r="L18" s="23" t="s">
        <v>79</v>
      </c>
      <c r="M18" s="23" t="s">
        <v>1706</v>
      </c>
      <c r="N18" s="23" t="s">
        <v>1707</v>
      </c>
      <c r="O18" s="23" t="s">
        <v>1708</v>
      </c>
      <c r="P18" s="23" t="s">
        <v>1605</v>
      </c>
    </row>
    <row r="19" spans="1:16" ht="18" customHeight="1">
      <c r="A19" s="61" t="s">
        <v>1709</v>
      </c>
      <c r="B19" s="75"/>
      <c r="C19" s="75"/>
      <c r="D19" s="75"/>
      <c r="E19" s="75"/>
      <c r="F19" s="75"/>
      <c r="G19" s="75"/>
      <c r="H19" s="75"/>
      <c r="I19" s="75"/>
      <c r="J19" s="75"/>
      <c r="K19" s="75"/>
      <c r="L19" s="75"/>
      <c r="M19" s="75"/>
      <c r="N19" s="75"/>
      <c r="O19" s="75"/>
      <c r="P19" s="75"/>
    </row>
    <row r="20" spans="1:16" ht="60" customHeight="1">
      <c r="A20" s="22" t="s">
        <v>1495</v>
      </c>
      <c r="B20" s="22" t="s">
        <v>1710</v>
      </c>
      <c r="C20" s="22" t="s">
        <v>1711</v>
      </c>
      <c r="D20" s="22" t="s">
        <v>1712</v>
      </c>
      <c r="E20" s="22" t="s">
        <v>1713</v>
      </c>
      <c r="F20" s="22" t="s">
        <v>1714</v>
      </c>
      <c r="G20" s="22" t="s">
        <v>1715</v>
      </c>
      <c r="H20" s="22" t="s">
        <v>72</v>
      </c>
      <c r="I20" s="22" t="s">
        <v>1716</v>
      </c>
      <c r="J20" s="22" t="s">
        <v>1598</v>
      </c>
      <c r="K20" s="22" t="s">
        <v>1717</v>
      </c>
      <c r="L20" s="22" t="s">
        <v>79</v>
      </c>
      <c r="M20" s="22" t="s">
        <v>1718</v>
      </c>
      <c r="N20" s="22" t="s">
        <v>1719</v>
      </c>
      <c r="O20" s="22" t="s">
        <v>1720</v>
      </c>
      <c r="P20" s="22" t="s">
        <v>1605</v>
      </c>
    </row>
    <row r="21" spans="1:16" ht="60" customHeight="1">
      <c r="A21" s="23" t="s">
        <v>1495</v>
      </c>
      <c r="B21" s="23" t="s">
        <v>1710</v>
      </c>
      <c r="C21" s="23" t="s">
        <v>1721</v>
      </c>
      <c r="D21" s="23" t="s">
        <v>1722</v>
      </c>
      <c r="E21" s="23" t="s">
        <v>1723</v>
      </c>
      <c r="F21" s="23" t="s">
        <v>1724</v>
      </c>
      <c r="G21" s="23" t="s">
        <v>1725</v>
      </c>
      <c r="H21" s="23" t="s">
        <v>72</v>
      </c>
      <c r="I21" s="23" t="s">
        <v>1726</v>
      </c>
      <c r="J21" s="23" t="s">
        <v>1727</v>
      </c>
      <c r="K21" s="23" t="s">
        <v>1646</v>
      </c>
      <c r="L21" s="23" t="s">
        <v>79</v>
      </c>
      <c r="M21" s="23" t="s">
        <v>1728</v>
      </c>
      <c r="N21" s="23" t="s">
        <v>1729</v>
      </c>
      <c r="O21" s="23" t="s">
        <v>1730</v>
      </c>
      <c r="P21" s="23" t="s">
        <v>1605</v>
      </c>
    </row>
    <row r="22" spans="1:16" ht="60" customHeight="1">
      <c r="A22" s="22" t="s">
        <v>1495</v>
      </c>
      <c r="B22" s="22" t="s">
        <v>1710</v>
      </c>
      <c r="C22" s="22" t="s">
        <v>1731</v>
      </c>
      <c r="D22" s="22" t="s">
        <v>1732</v>
      </c>
      <c r="E22" s="22" t="s">
        <v>1733</v>
      </c>
      <c r="F22" s="22" t="s">
        <v>1734</v>
      </c>
      <c r="G22" s="22" t="s">
        <v>1341</v>
      </c>
      <c r="H22" s="22" t="s">
        <v>72</v>
      </c>
      <c r="I22" s="22" t="s">
        <v>1735</v>
      </c>
      <c r="J22" s="22" t="s">
        <v>1725</v>
      </c>
      <c r="K22" s="22" t="s">
        <v>1736</v>
      </c>
      <c r="L22" s="22" t="s">
        <v>79</v>
      </c>
      <c r="M22" s="22" t="s">
        <v>1737</v>
      </c>
      <c r="N22" s="22" t="s">
        <v>1738</v>
      </c>
      <c r="O22" s="22" t="s">
        <v>1739</v>
      </c>
      <c r="P22" s="22" t="s">
        <v>1605</v>
      </c>
    </row>
    <row r="23" spans="1:16" ht="18" customHeight="1">
      <c r="A23" s="61" t="s">
        <v>1740</v>
      </c>
      <c r="B23" s="75"/>
      <c r="C23" s="75"/>
      <c r="D23" s="75"/>
      <c r="E23" s="75"/>
      <c r="F23" s="75"/>
      <c r="G23" s="75"/>
      <c r="H23" s="75"/>
      <c r="I23" s="75"/>
      <c r="J23" s="75"/>
      <c r="K23" s="75"/>
      <c r="L23" s="75"/>
      <c r="M23" s="75"/>
      <c r="N23" s="75"/>
      <c r="O23" s="75"/>
      <c r="P23" s="75"/>
    </row>
    <row r="24" spans="1:16" ht="60" customHeight="1">
      <c r="A24" s="23" t="s">
        <v>1495</v>
      </c>
      <c r="B24" s="23" t="s">
        <v>1567</v>
      </c>
      <c r="C24" s="23" t="s">
        <v>1741</v>
      </c>
      <c r="D24" s="23" t="s">
        <v>1742</v>
      </c>
      <c r="E24" s="23" t="s">
        <v>1743</v>
      </c>
      <c r="F24" s="23" t="s">
        <v>1744</v>
      </c>
      <c r="G24" s="23" t="s">
        <v>1745</v>
      </c>
      <c r="H24" s="23" t="s">
        <v>72</v>
      </c>
      <c r="I24" s="23" t="s">
        <v>1746</v>
      </c>
      <c r="J24" s="23" t="s">
        <v>1747</v>
      </c>
      <c r="K24" s="23" t="s">
        <v>1748</v>
      </c>
      <c r="L24" s="23" t="s">
        <v>79</v>
      </c>
      <c r="M24" s="23" t="s">
        <v>1749</v>
      </c>
      <c r="N24" s="23" t="s">
        <v>1750</v>
      </c>
      <c r="O24" s="23" t="s">
        <v>1751</v>
      </c>
      <c r="P24" s="23" t="s">
        <v>1605</v>
      </c>
    </row>
    <row r="25" spans="1:16" ht="60" customHeight="1">
      <c r="A25" s="22" t="s">
        <v>1495</v>
      </c>
      <c r="B25" s="22" t="s">
        <v>1567</v>
      </c>
      <c r="C25" s="22" t="s">
        <v>1568</v>
      </c>
      <c r="D25" s="22" t="s">
        <v>1569</v>
      </c>
      <c r="E25" s="22" t="s">
        <v>1570</v>
      </c>
      <c r="F25" s="22" t="s">
        <v>1752</v>
      </c>
      <c r="G25" s="22" t="s">
        <v>1753</v>
      </c>
      <c r="H25" s="22" t="s">
        <v>72</v>
      </c>
      <c r="I25" s="22" t="s">
        <v>1573</v>
      </c>
      <c r="J25" s="22" t="s">
        <v>1754</v>
      </c>
      <c r="K25" s="22" t="s">
        <v>1755</v>
      </c>
      <c r="L25" s="22" t="s">
        <v>79</v>
      </c>
      <c r="M25" s="22" t="s">
        <v>1576</v>
      </c>
      <c r="N25" s="22" t="s">
        <v>1577</v>
      </c>
      <c r="O25" s="22" t="s">
        <v>1578</v>
      </c>
      <c r="P25" s="22" t="s">
        <v>236</v>
      </c>
    </row>
  </sheetData>
  <mergeCells count="7">
    <mergeCell ref="A23:P23"/>
    <mergeCell ref="A1:P1"/>
    <mergeCell ref="A2:P2"/>
    <mergeCell ref="A4:P4"/>
    <mergeCell ref="A10:P10"/>
    <mergeCell ref="A17:P17"/>
    <mergeCell ref="A19:P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CF79-7BE6-48C5-BA9C-A18689FB71C1}">
  <dimension ref="A1:O8"/>
  <sheetViews>
    <sheetView workbookViewId="0">
      <selection activeCell="H13" sqref="H13"/>
    </sheetView>
  </sheetViews>
  <sheetFormatPr defaultColWidth="8.85546875" defaultRowHeight="15"/>
  <cols>
    <col min="1" max="1" width="18" customWidth="1"/>
    <col min="2" max="2" width="22" customWidth="1"/>
    <col min="3" max="3" width="30" customWidth="1"/>
    <col min="4" max="4" width="32" customWidth="1"/>
    <col min="5" max="5" width="30" customWidth="1"/>
    <col min="6" max="6" width="42" customWidth="1"/>
    <col min="7" max="7" width="22" customWidth="1"/>
    <col min="8" max="8" width="32" customWidth="1"/>
    <col min="9" max="9" width="33.42578125" customWidth="1"/>
    <col min="10" max="10" width="22" customWidth="1"/>
    <col min="11" max="11" width="36" customWidth="1"/>
    <col min="12" max="12" width="42" customWidth="1"/>
    <col min="13" max="13" width="36" customWidth="1"/>
    <col min="14" max="14" width="42" customWidth="1"/>
    <col min="15" max="15" width="22" customWidth="1"/>
  </cols>
  <sheetData>
    <row r="1" spans="1:15" ht="27.95" customHeight="1">
      <c r="A1" s="64" t="s">
        <v>1756</v>
      </c>
      <c r="B1" s="79"/>
      <c r="C1" s="79"/>
      <c r="D1" s="79"/>
      <c r="E1" s="79"/>
      <c r="F1" s="79"/>
      <c r="G1" s="79"/>
      <c r="H1" s="79"/>
      <c r="I1" s="79"/>
      <c r="J1" s="79"/>
      <c r="K1" s="79"/>
      <c r="L1" s="79"/>
      <c r="M1" s="79"/>
      <c r="N1" s="79"/>
      <c r="O1" s="79"/>
    </row>
    <row r="2" spans="1:15" ht="18" customHeight="1">
      <c r="A2" s="65" t="s">
        <v>1757</v>
      </c>
      <c r="B2" s="79"/>
      <c r="C2" s="79"/>
      <c r="D2" s="79"/>
      <c r="E2" s="79"/>
      <c r="F2" s="79"/>
      <c r="G2" s="79"/>
      <c r="H2" s="79"/>
      <c r="I2" s="79"/>
      <c r="J2" s="79"/>
      <c r="K2" s="79"/>
      <c r="L2" s="79"/>
      <c r="M2" s="79"/>
      <c r="N2" s="79"/>
      <c r="O2" s="79"/>
    </row>
    <row r="3" spans="1:15" ht="38.1" customHeight="1">
      <c r="A3" s="15" t="s">
        <v>14</v>
      </c>
      <c r="B3" s="15" t="s">
        <v>16</v>
      </c>
      <c r="C3" s="15" t="s">
        <v>18</v>
      </c>
      <c r="D3" s="15" t="s">
        <v>20</v>
      </c>
      <c r="E3" s="15" t="s">
        <v>22</v>
      </c>
      <c r="F3" s="15" t="s">
        <v>24</v>
      </c>
      <c r="G3" s="15" t="s">
        <v>26</v>
      </c>
      <c r="H3" s="15" t="s">
        <v>1490</v>
      </c>
      <c r="I3" s="15" t="s">
        <v>1758</v>
      </c>
      <c r="J3" s="15" t="s">
        <v>28</v>
      </c>
      <c r="K3" s="15" t="s">
        <v>32</v>
      </c>
      <c r="L3" s="15" t="s">
        <v>34</v>
      </c>
      <c r="M3" s="15" t="s">
        <v>36</v>
      </c>
      <c r="N3" s="15" t="s">
        <v>38</v>
      </c>
      <c r="O3" s="15" t="s">
        <v>40</v>
      </c>
    </row>
    <row r="4" spans="1:15" ht="21.95" customHeight="1">
      <c r="A4" s="66" t="s">
        <v>1759</v>
      </c>
      <c r="B4" s="79"/>
      <c r="C4" s="79"/>
      <c r="D4" s="79"/>
      <c r="E4" s="79"/>
      <c r="F4" s="79"/>
      <c r="G4" s="79"/>
      <c r="H4" s="79"/>
      <c r="I4" s="79"/>
      <c r="J4" s="79"/>
      <c r="K4" s="79"/>
      <c r="L4" s="79"/>
      <c r="M4" s="79"/>
      <c r="N4" s="79"/>
      <c r="O4" s="79"/>
    </row>
    <row r="5" spans="1:15" ht="68.25" customHeight="1">
      <c r="A5" s="16" t="s">
        <v>49</v>
      </c>
      <c r="B5" s="16" t="s">
        <v>1760</v>
      </c>
      <c r="C5" s="16" t="s">
        <v>1761</v>
      </c>
      <c r="D5" s="16" t="s">
        <v>1762</v>
      </c>
      <c r="E5" s="16" t="s">
        <v>1763</v>
      </c>
      <c r="F5" s="16" t="s">
        <v>1764</v>
      </c>
      <c r="G5" s="16" t="s">
        <v>1765</v>
      </c>
      <c r="H5" s="16" t="s">
        <v>72</v>
      </c>
      <c r="I5" s="16" t="s">
        <v>1766</v>
      </c>
      <c r="J5" s="16" t="s">
        <v>1767</v>
      </c>
      <c r="K5" s="16" t="s">
        <v>1768</v>
      </c>
      <c r="L5" s="16" t="s">
        <v>1769</v>
      </c>
      <c r="M5" s="16" t="s">
        <v>1770</v>
      </c>
      <c r="N5" s="16" t="s">
        <v>1771</v>
      </c>
      <c r="O5" s="16" t="s">
        <v>87</v>
      </c>
    </row>
    <row r="6" spans="1:15" ht="87" customHeight="1">
      <c r="A6" s="17" t="s">
        <v>49</v>
      </c>
      <c r="B6" s="17" t="s">
        <v>1760</v>
      </c>
      <c r="C6" s="17" t="s">
        <v>1731</v>
      </c>
      <c r="D6" s="17" t="s">
        <v>1732</v>
      </c>
      <c r="E6" s="17" t="s">
        <v>1733</v>
      </c>
      <c r="F6" s="17" t="s">
        <v>1772</v>
      </c>
      <c r="G6" s="17" t="s">
        <v>1341</v>
      </c>
      <c r="H6" s="17" t="s">
        <v>1773</v>
      </c>
      <c r="I6" s="17" t="s">
        <v>1774</v>
      </c>
      <c r="J6" s="17" t="s">
        <v>1725</v>
      </c>
      <c r="K6" s="17" t="s">
        <v>1775</v>
      </c>
      <c r="L6" s="17" t="s">
        <v>1776</v>
      </c>
      <c r="M6" s="17" t="s">
        <v>1738</v>
      </c>
      <c r="N6" s="17" t="s">
        <v>1777</v>
      </c>
      <c r="O6" s="17" t="s">
        <v>1605</v>
      </c>
    </row>
    <row r="7" spans="1:15" ht="50.1" customHeight="1">
      <c r="A7" s="16" t="s">
        <v>49</v>
      </c>
      <c r="B7" s="16" t="s">
        <v>1710</v>
      </c>
      <c r="C7" s="16" t="s">
        <v>1721</v>
      </c>
      <c r="D7" s="16" t="s">
        <v>1722</v>
      </c>
      <c r="E7" s="16" t="s">
        <v>1723</v>
      </c>
      <c r="F7" s="16" t="s">
        <v>1778</v>
      </c>
      <c r="G7" s="16" t="s">
        <v>1725</v>
      </c>
      <c r="H7" s="16" t="s">
        <v>72</v>
      </c>
      <c r="I7" s="16" t="s">
        <v>1779</v>
      </c>
      <c r="J7" s="16" t="s">
        <v>1727</v>
      </c>
      <c r="K7" s="16" t="s">
        <v>1780</v>
      </c>
      <c r="L7" s="16" t="s">
        <v>1728</v>
      </c>
      <c r="M7" s="16" t="s">
        <v>1729</v>
      </c>
      <c r="N7" s="16" t="s">
        <v>1781</v>
      </c>
      <c r="O7" s="16" t="s">
        <v>1605</v>
      </c>
    </row>
    <row r="8" spans="1:15" ht="50.1" customHeight="1">
      <c r="A8" s="17" t="s">
        <v>49</v>
      </c>
      <c r="B8" s="17" t="s">
        <v>1710</v>
      </c>
      <c r="C8" s="17" t="s">
        <v>1782</v>
      </c>
      <c r="D8" s="17" t="s">
        <v>1783</v>
      </c>
      <c r="E8" s="17" t="s">
        <v>1784</v>
      </c>
      <c r="F8" s="17" t="s">
        <v>1785</v>
      </c>
      <c r="G8" s="17" t="s">
        <v>1786</v>
      </c>
      <c r="H8" s="17" t="s">
        <v>72</v>
      </c>
      <c r="I8" s="17" t="s">
        <v>1787</v>
      </c>
      <c r="J8" s="17" t="s">
        <v>1788</v>
      </c>
      <c r="K8" s="17" t="s">
        <v>1477</v>
      </c>
      <c r="L8" s="17" t="s">
        <v>1789</v>
      </c>
      <c r="M8" s="17" t="s">
        <v>1790</v>
      </c>
      <c r="N8" s="17" t="s">
        <v>1791</v>
      </c>
      <c r="O8" s="17" t="s">
        <v>1605</v>
      </c>
    </row>
  </sheetData>
  <mergeCells count="3">
    <mergeCell ref="A1:O1"/>
    <mergeCell ref="A2:O2"/>
    <mergeCell ref="A4:O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4FB24-A600-43E0-8A63-5A7183FFF339}">
  <dimension ref="A1:AB16"/>
  <sheetViews>
    <sheetView workbookViewId="0">
      <pane ySplit="3" topLeftCell="A4" activePane="bottomLeft" state="frozen"/>
      <selection pane="bottomLeft" activeCell="C7" sqref="C7"/>
    </sheetView>
  </sheetViews>
  <sheetFormatPr defaultColWidth="8.85546875" defaultRowHeight="15"/>
  <cols>
    <col min="1" max="1" width="18" customWidth="1"/>
    <col min="2" max="2" width="22" customWidth="1"/>
    <col min="3" max="3" width="28" customWidth="1"/>
    <col min="4" max="5" width="30" customWidth="1"/>
    <col min="6" max="6" width="45" customWidth="1"/>
    <col min="7" max="7" width="22" customWidth="1"/>
    <col min="8" max="8" width="14" customWidth="1"/>
    <col min="9" max="9" width="35" customWidth="1"/>
    <col min="10" max="10" width="22" customWidth="1"/>
    <col min="11" max="11" width="14" customWidth="1"/>
    <col min="12" max="12" width="35" customWidth="1"/>
    <col min="13" max="13" width="22" customWidth="1"/>
    <col min="14" max="14" width="14" customWidth="1"/>
    <col min="15" max="15" width="35" customWidth="1"/>
    <col min="16" max="16" width="22" customWidth="1"/>
    <col min="17" max="17" width="14" customWidth="1"/>
    <col min="18" max="18" width="35" customWidth="1"/>
    <col min="19" max="19" width="22" customWidth="1"/>
    <col min="20" max="20" width="14" customWidth="1"/>
    <col min="21" max="21" width="45.7109375" customWidth="1"/>
    <col min="22" max="22" width="20" customWidth="1"/>
    <col min="23" max="23" width="14" customWidth="1"/>
    <col min="24" max="24" width="30" customWidth="1"/>
    <col min="25" max="25" width="45" customWidth="1"/>
    <col min="26" max="27" width="35" customWidth="1"/>
    <col min="28" max="28" width="18" customWidth="1"/>
  </cols>
  <sheetData>
    <row r="1" spans="1:28" ht="24.95" customHeight="1">
      <c r="A1" s="67" t="s">
        <v>1792</v>
      </c>
      <c r="B1" s="75"/>
      <c r="C1" s="75"/>
      <c r="D1" s="75"/>
      <c r="E1" s="75"/>
      <c r="F1" s="75"/>
      <c r="G1" s="75"/>
      <c r="H1" s="75"/>
      <c r="I1" s="75"/>
      <c r="J1" s="75"/>
      <c r="K1" s="75"/>
      <c r="L1" s="75"/>
      <c r="M1" s="75"/>
      <c r="N1" s="75"/>
      <c r="O1" s="75"/>
      <c r="P1" s="75"/>
      <c r="Q1" s="75"/>
      <c r="R1" s="75"/>
      <c r="S1" s="75"/>
      <c r="T1" s="75"/>
      <c r="U1" s="75"/>
      <c r="V1" s="75"/>
      <c r="W1" s="75"/>
      <c r="X1" s="75"/>
      <c r="Y1" s="75"/>
      <c r="Z1" s="75"/>
      <c r="AA1" s="75"/>
      <c r="AB1" s="75"/>
    </row>
    <row r="2" spans="1:28" ht="20.100000000000001" customHeight="1">
      <c r="A2" s="68" t="s">
        <v>1793</v>
      </c>
      <c r="B2" s="75"/>
      <c r="C2" s="75"/>
      <c r="D2" s="75"/>
      <c r="E2" s="75"/>
      <c r="F2" s="75"/>
      <c r="G2" s="75"/>
      <c r="H2" s="75"/>
      <c r="I2" s="75"/>
      <c r="J2" s="75"/>
      <c r="K2" s="75"/>
      <c r="L2" s="75"/>
      <c r="M2" s="75"/>
      <c r="N2" s="75"/>
      <c r="O2" s="75"/>
      <c r="P2" s="75"/>
      <c r="Q2" s="75"/>
      <c r="R2" s="75"/>
      <c r="S2" s="75"/>
      <c r="T2" s="75"/>
      <c r="U2" s="75"/>
      <c r="V2" s="75"/>
      <c r="W2" s="75"/>
      <c r="X2" s="75"/>
      <c r="Y2" s="75"/>
      <c r="Z2" s="75"/>
      <c r="AA2" s="75"/>
      <c r="AB2" s="75"/>
    </row>
    <row r="3" spans="1:28" ht="35.1" customHeight="1">
      <c r="A3" s="24" t="s">
        <v>14</v>
      </c>
      <c r="B3" s="24" t="s">
        <v>16</v>
      </c>
      <c r="C3" s="24" t="s">
        <v>18</v>
      </c>
      <c r="D3" s="24" t="s">
        <v>20</v>
      </c>
      <c r="E3" s="24" t="s">
        <v>22</v>
      </c>
      <c r="F3" s="24" t="s">
        <v>24</v>
      </c>
      <c r="G3" s="24" t="s">
        <v>1794</v>
      </c>
      <c r="H3" s="24" t="s">
        <v>1490</v>
      </c>
      <c r="I3" s="24" t="s">
        <v>54</v>
      </c>
      <c r="J3" s="24" t="s">
        <v>1795</v>
      </c>
      <c r="K3" s="24" t="s">
        <v>1490</v>
      </c>
      <c r="L3" s="24" t="s">
        <v>54</v>
      </c>
      <c r="M3" s="24" t="s">
        <v>1796</v>
      </c>
      <c r="N3" s="24" t="s">
        <v>1490</v>
      </c>
      <c r="O3" s="24" t="s">
        <v>54</v>
      </c>
      <c r="P3" s="24" t="s">
        <v>1797</v>
      </c>
      <c r="Q3" s="24" t="s">
        <v>1490</v>
      </c>
      <c r="R3" s="24" t="s">
        <v>54</v>
      </c>
      <c r="S3" s="24" t="s">
        <v>1798</v>
      </c>
      <c r="T3" s="24" t="s">
        <v>1490</v>
      </c>
      <c r="U3" s="24" t="s">
        <v>54</v>
      </c>
      <c r="V3" s="24" t="s">
        <v>1491</v>
      </c>
      <c r="W3" s="24" t="s">
        <v>1492</v>
      </c>
      <c r="X3" s="24" t="s">
        <v>1493</v>
      </c>
      <c r="Y3" s="24" t="s">
        <v>34</v>
      </c>
      <c r="Z3" s="24" t="s">
        <v>36</v>
      </c>
      <c r="AA3" s="24" t="s">
        <v>38</v>
      </c>
      <c r="AB3" s="24" t="s">
        <v>40</v>
      </c>
    </row>
    <row r="4" spans="1:28" ht="18" customHeight="1">
      <c r="A4" s="69" t="s">
        <v>1799</v>
      </c>
      <c r="B4" s="75"/>
      <c r="C4" s="75"/>
      <c r="D4" s="75"/>
      <c r="E4" s="75"/>
      <c r="F4" s="75"/>
      <c r="G4" s="75"/>
      <c r="H4" s="75"/>
      <c r="I4" s="75"/>
      <c r="J4" s="75"/>
      <c r="K4" s="75"/>
      <c r="L4" s="75"/>
      <c r="M4" s="75"/>
      <c r="N4" s="75"/>
      <c r="O4" s="75"/>
      <c r="P4" s="75"/>
      <c r="Q4" s="75"/>
      <c r="R4" s="75"/>
      <c r="S4" s="75"/>
      <c r="T4" s="75"/>
      <c r="U4" s="75"/>
      <c r="V4" s="75"/>
      <c r="W4" s="75"/>
      <c r="X4" s="75"/>
      <c r="Y4" s="75"/>
      <c r="Z4" s="75"/>
      <c r="AA4" s="75"/>
      <c r="AB4" s="75"/>
    </row>
    <row r="5" spans="1:28" ht="60" customHeight="1">
      <c r="A5" s="22" t="s">
        <v>47</v>
      </c>
      <c r="B5" s="22" t="s">
        <v>1800</v>
      </c>
      <c r="C5" s="22" t="s">
        <v>1801</v>
      </c>
      <c r="D5" s="22" t="s">
        <v>1802</v>
      </c>
      <c r="E5" s="22" t="s">
        <v>1803</v>
      </c>
      <c r="F5" s="22" t="s">
        <v>1804</v>
      </c>
      <c r="G5" s="22" t="s">
        <v>76</v>
      </c>
      <c r="H5" s="22" t="s">
        <v>72</v>
      </c>
      <c r="I5" s="22" t="s">
        <v>1805</v>
      </c>
      <c r="J5" s="22" t="s">
        <v>76</v>
      </c>
      <c r="K5" s="22" t="s">
        <v>72</v>
      </c>
      <c r="L5" s="22" t="s">
        <v>1805</v>
      </c>
      <c r="M5" s="22" t="s">
        <v>76</v>
      </c>
      <c r="N5" s="22" t="s">
        <v>72</v>
      </c>
      <c r="O5" s="22" t="s">
        <v>1805</v>
      </c>
      <c r="P5" s="22" t="s">
        <v>76</v>
      </c>
      <c r="Q5" s="22" t="s">
        <v>72</v>
      </c>
      <c r="R5" s="22" t="s">
        <v>1805</v>
      </c>
      <c r="S5" s="22" t="s">
        <v>76</v>
      </c>
      <c r="T5" s="22" t="s">
        <v>72</v>
      </c>
      <c r="U5" s="22" t="s">
        <v>1805</v>
      </c>
      <c r="V5" s="22" t="s">
        <v>1806</v>
      </c>
      <c r="W5" s="22" t="s">
        <v>72</v>
      </c>
      <c r="X5" s="22" t="s">
        <v>1807</v>
      </c>
      <c r="Y5" s="22" t="s">
        <v>1808</v>
      </c>
      <c r="Z5" s="22" t="s">
        <v>1809</v>
      </c>
      <c r="AA5" s="22" t="s">
        <v>1810</v>
      </c>
      <c r="AB5" s="22" t="s">
        <v>87</v>
      </c>
    </row>
    <row r="6" spans="1:28" ht="60" customHeight="1">
      <c r="A6" s="25" t="s">
        <v>47</v>
      </c>
      <c r="B6" s="25" t="s">
        <v>1800</v>
      </c>
      <c r="C6" s="25" t="s">
        <v>1801</v>
      </c>
      <c r="D6" s="25" t="s">
        <v>1811</v>
      </c>
      <c r="E6" s="25" t="s">
        <v>1812</v>
      </c>
      <c r="F6" s="25" t="s">
        <v>1813</v>
      </c>
      <c r="G6" s="25" t="s">
        <v>1814</v>
      </c>
      <c r="H6" s="25" t="s">
        <v>72</v>
      </c>
      <c r="I6" s="25" t="s">
        <v>1815</v>
      </c>
      <c r="J6" s="25" t="s">
        <v>1816</v>
      </c>
      <c r="K6" s="25" t="s">
        <v>72</v>
      </c>
      <c r="L6" s="25" t="s">
        <v>1817</v>
      </c>
      <c r="M6" s="25" t="s">
        <v>1818</v>
      </c>
      <c r="N6" s="25" t="s">
        <v>72</v>
      </c>
      <c r="O6" s="25" t="s">
        <v>1819</v>
      </c>
      <c r="P6" s="25" t="s">
        <v>1820</v>
      </c>
      <c r="Q6" s="25" t="s">
        <v>72</v>
      </c>
      <c r="R6" s="25" t="s">
        <v>1819</v>
      </c>
      <c r="S6" s="25" t="s">
        <v>1821</v>
      </c>
      <c r="T6" s="25" t="s">
        <v>72</v>
      </c>
      <c r="U6" s="25" t="s">
        <v>1822</v>
      </c>
      <c r="V6" s="25" t="s">
        <v>1806</v>
      </c>
      <c r="W6" s="25" t="s">
        <v>72</v>
      </c>
      <c r="X6" s="25" t="s">
        <v>1823</v>
      </c>
      <c r="Y6" s="25" t="s">
        <v>1824</v>
      </c>
      <c r="Z6" s="25" t="s">
        <v>1825</v>
      </c>
      <c r="AA6" s="25" t="s">
        <v>1826</v>
      </c>
      <c r="AB6" s="25" t="s">
        <v>87</v>
      </c>
    </row>
    <row r="7" spans="1:28" ht="60" customHeight="1">
      <c r="A7" s="22" t="s">
        <v>47</v>
      </c>
      <c r="B7" s="22" t="s">
        <v>1800</v>
      </c>
      <c r="C7" s="22" t="s">
        <v>1827</v>
      </c>
      <c r="D7" s="22" t="s">
        <v>1828</v>
      </c>
      <c r="E7" s="22" t="s">
        <v>1829</v>
      </c>
      <c r="F7" s="22" t="s">
        <v>1830</v>
      </c>
      <c r="G7" s="22" t="s">
        <v>1831</v>
      </c>
      <c r="H7" s="22" t="s">
        <v>72</v>
      </c>
      <c r="I7" s="22" t="s">
        <v>1832</v>
      </c>
      <c r="J7" s="22" t="s">
        <v>1833</v>
      </c>
      <c r="K7" s="22" t="s">
        <v>72</v>
      </c>
      <c r="L7" s="22" t="s">
        <v>1834</v>
      </c>
      <c r="M7" s="22" t="s">
        <v>1835</v>
      </c>
      <c r="N7" s="22" t="s">
        <v>72</v>
      </c>
      <c r="O7" s="22" t="s">
        <v>1836</v>
      </c>
      <c r="P7" s="22" t="s">
        <v>1837</v>
      </c>
      <c r="Q7" s="22" t="s">
        <v>72</v>
      </c>
      <c r="R7" s="22" t="s">
        <v>1838</v>
      </c>
      <c r="S7" s="22" t="s">
        <v>1839</v>
      </c>
      <c r="T7" s="22" t="s">
        <v>72</v>
      </c>
      <c r="U7" s="22" t="s">
        <v>1840</v>
      </c>
      <c r="V7" s="22" t="s">
        <v>1841</v>
      </c>
      <c r="W7" s="22" t="s">
        <v>72</v>
      </c>
      <c r="X7" s="22" t="s">
        <v>1842</v>
      </c>
      <c r="Y7" s="22" t="s">
        <v>1843</v>
      </c>
      <c r="Z7" s="22" t="s">
        <v>1844</v>
      </c>
      <c r="AA7" s="22" t="s">
        <v>1845</v>
      </c>
      <c r="AB7" s="22" t="s">
        <v>87</v>
      </c>
    </row>
    <row r="8" spans="1:28" ht="60" customHeight="1">
      <c r="A8" s="25" t="s">
        <v>47</v>
      </c>
      <c r="B8" s="25" t="s">
        <v>1800</v>
      </c>
      <c r="C8" s="25" t="s">
        <v>1846</v>
      </c>
      <c r="D8" s="25" t="s">
        <v>1847</v>
      </c>
      <c r="E8" s="25" t="s">
        <v>1848</v>
      </c>
      <c r="F8" s="25" t="s">
        <v>1849</v>
      </c>
      <c r="G8" s="25" t="s">
        <v>1850</v>
      </c>
      <c r="H8" s="25" t="s">
        <v>72</v>
      </c>
      <c r="I8" s="25" t="s">
        <v>1851</v>
      </c>
      <c r="J8" s="25" t="s">
        <v>1833</v>
      </c>
      <c r="K8" s="25" t="s">
        <v>72</v>
      </c>
      <c r="L8" s="25" t="s">
        <v>1852</v>
      </c>
      <c r="M8" s="25" t="s">
        <v>1835</v>
      </c>
      <c r="N8" s="25" t="s">
        <v>72</v>
      </c>
      <c r="O8" s="25" t="s">
        <v>1853</v>
      </c>
      <c r="P8" s="25" t="s">
        <v>1854</v>
      </c>
      <c r="Q8" s="25" t="s">
        <v>72</v>
      </c>
      <c r="R8" s="25" t="s">
        <v>1855</v>
      </c>
      <c r="S8" s="25" t="s">
        <v>1856</v>
      </c>
      <c r="T8" s="25" t="s">
        <v>72</v>
      </c>
      <c r="U8" s="25" t="s">
        <v>1857</v>
      </c>
      <c r="V8" s="25" t="s">
        <v>1806</v>
      </c>
      <c r="W8" s="25" t="s">
        <v>72</v>
      </c>
      <c r="X8" s="25" t="s">
        <v>1823</v>
      </c>
      <c r="Y8" s="25" t="s">
        <v>1858</v>
      </c>
      <c r="Z8" s="25" t="s">
        <v>1859</v>
      </c>
      <c r="AA8" s="25" t="s">
        <v>1860</v>
      </c>
      <c r="AB8" s="25" t="s">
        <v>87</v>
      </c>
    </row>
    <row r="9" spans="1:28" ht="60" customHeight="1">
      <c r="A9" s="22" t="s">
        <v>47</v>
      </c>
      <c r="B9" s="22" t="s">
        <v>1800</v>
      </c>
      <c r="C9" s="22" t="s">
        <v>1861</v>
      </c>
      <c r="D9" s="22" t="s">
        <v>1862</v>
      </c>
      <c r="E9" s="22" t="s">
        <v>1863</v>
      </c>
      <c r="F9" s="22" t="s">
        <v>1864</v>
      </c>
      <c r="G9" s="22" t="s">
        <v>1865</v>
      </c>
      <c r="H9" s="22" t="s">
        <v>72</v>
      </c>
      <c r="I9" s="22" t="s">
        <v>1866</v>
      </c>
      <c r="J9" s="22" t="s">
        <v>1867</v>
      </c>
      <c r="K9" s="22" t="s">
        <v>72</v>
      </c>
      <c r="L9" s="22" t="s">
        <v>1868</v>
      </c>
      <c r="M9" s="22" t="s">
        <v>1869</v>
      </c>
      <c r="N9" s="22" t="s">
        <v>72</v>
      </c>
      <c r="O9" s="22" t="s">
        <v>1870</v>
      </c>
      <c r="P9" s="22" t="s">
        <v>1871</v>
      </c>
      <c r="Q9" s="22" t="s">
        <v>72</v>
      </c>
      <c r="R9" s="22" t="s">
        <v>1872</v>
      </c>
      <c r="S9" s="22" t="s">
        <v>1873</v>
      </c>
      <c r="T9" s="22" t="s">
        <v>72</v>
      </c>
      <c r="U9" s="22" t="s">
        <v>1874</v>
      </c>
      <c r="V9" s="22" t="s">
        <v>1841</v>
      </c>
      <c r="W9" s="22" t="s">
        <v>72</v>
      </c>
      <c r="X9" s="22" t="s">
        <v>1823</v>
      </c>
      <c r="Y9" s="22" t="s">
        <v>1875</v>
      </c>
      <c r="Z9" s="22" t="s">
        <v>1876</v>
      </c>
      <c r="AA9" s="22" t="s">
        <v>1877</v>
      </c>
      <c r="AB9" s="22" t="s">
        <v>87</v>
      </c>
    </row>
    <row r="10" spans="1:28" ht="18" customHeight="1">
      <c r="A10" s="69" t="s">
        <v>1878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row>
    <row r="11" spans="1:28" ht="60" customHeight="1">
      <c r="A11" s="22" t="s">
        <v>47</v>
      </c>
      <c r="B11" s="22" t="s">
        <v>1879</v>
      </c>
      <c r="C11" s="22" t="s">
        <v>1880</v>
      </c>
      <c r="D11" s="22" t="s">
        <v>1881</v>
      </c>
      <c r="E11" s="22" t="s">
        <v>1882</v>
      </c>
      <c r="F11" s="22" t="s">
        <v>1883</v>
      </c>
      <c r="G11" s="22" t="s">
        <v>1884</v>
      </c>
      <c r="H11" s="22" t="s">
        <v>72</v>
      </c>
      <c r="I11" s="22" t="s">
        <v>1885</v>
      </c>
      <c r="J11" s="22" t="s">
        <v>296</v>
      </c>
      <c r="K11" s="22" t="s">
        <v>72</v>
      </c>
      <c r="L11" s="22" t="s">
        <v>1886</v>
      </c>
      <c r="M11" s="22" t="s">
        <v>1887</v>
      </c>
      <c r="N11" s="22" t="s">
        <v>72</v>
      </c>
      <c r="O11" s="22" t="s">
        <v>1888</v>
      </c>
      <c r="P11" s="22" t="s">
        <v>865</v>
      </c>
      <c r="Q11" s="22" t="s">
        <v>72</v>
      </c>
      <c r="R11" s="22" t="s">
        <v>1889</v>
      </c>
      <c r="S11" s="22" t="s">
        <v>1890</v>
      </c>
      <c r="T11" s="22" t="s">
        <v>72</v>
      </c>
      <c r="U11" s="22" t="s">
        <v>1891</v>
      </c>
      <c r="V11" s="22" t="s">
        <v>1806</v>
      </c>
      <c r="W11" s="22" t="s">
        <v>72</v>
      </c>
      <c r="X11" s="22" t="s">
        <v>1892</v>
      </c>
      <c r="Y11" s="22" t="s">
        <v>1893</v>
      </c>
      <c r="Z11" s="22" t="s">
        <v>1894</v>
      </c>
      <c r="AA11" s="22" t="s">
        <v>1895</v>
      </c>
      <c r="AB11" s="22" t="s">
        <v>87</v>
      </c>
    </row>
    <row r="12" spans="1:28" ht="60" customHeight="1">
      <c r="A12" s="25" t="s">
        <v>47</v>
      </c>
      <c r="B12" s="25" t="s">
        <v>1879</v>
      </c>
      <c r="C12" s="25" t="s">
        <v>1896</v>
      </c>
      <c r="D12" s="25" t="s">
        <v>1897</v>
      </c>
      <c r="E12" s="25" t="s">
        <v>1898</v>
      </c>
      <c r="F12" s="25" t="s">
        <v>1899</v>
      </c>
      <c r="G12" s="25" t="s">
        <v>1900</v>
      </c>
      <c r="H12" s="25" t="s">
        <v>72</v>
      </c>
      <c r="I12" s="25" t="s">
        <v>1901</v>
      </c>
      <c r="J12" s="25" t="s">
        <v>1900</v>
      </c>
      <c r="K12" s="25" t="s">
        <v>72</v>
      </c>
      <c r="L12" s="25" t="s">
        <v>1901</v>
      </c>
      <c r="M12" s="25" t="s">
        <v>1900</v>
      </c>
      <c r="N12" s="25" t="s">
        <v>72</v>
      </c>
      <c r="O12" s="25" t="s">
        <v>1901</v>
      </c>
      <c r="P12" s="25" t="s">
        <v>1900</v>
      </c>
      <c r="Q12" s="25" t="s">
        <v>72</v>
      </c>
      <c r="R12" s="25" t="s">
        <v>1901</v>
      </c>
      <c r="S12" s="25" t="s">
        <v>1900</v>
      </c>
      <c r="T12" s="25" t="s">
        <v>72</v>
      </c>
      <c r="U12" s="25" t="s">
        <v>1901</v>
      </c>
      <c r="V12" s="25" t="s">
        <v>1902</v>
      </c>
      <c r="W12" s="25" t="s">
        <v>72</v>
      </c>
      <c r="X12" s="25" t="s">
        <v>1903</v>
      </c>
      <c r="Y12" s="25" t="s">
        <v>1904</v>
      </c>
      <c r="Z12" s="25" t="s">
        <v>1905</v>
      </c>
      <c r="AA12" s="25" t="s">
        <v>1906</v>
      </c>
      <c r="AB12" s="25" t="s">
        <v>87</v>
      </c>
    </row>
    <row r="13" spans="1:28" ht="60" customHeight="1">
      <c r="A13" s="22" t="s">
        <v>47</v>
      </c>
      <c r="B13" s="22" t="s">
        <v>1879</v>
      </c>
      <c r="C13" s="22" t="s">
        <v>1907</v>
      </c>
      <c r="D13" s="22" t="s">
        <v>1908</v>
      </c>
      <c r="E13" s="22" t="s">
        <v>1909</v>
      </c>
      <c r="F13" s="22" t="s">
        <v>1910</v>
      </c>
      <c r="G13" s="22" t="s">
        <v>1911</v>
      </c>
      <c r="H13" s="22" t="s">
        <v>72</v>
      </c>
      <c r="I13" s="22" t="s">
        <v>1912</v>
      </c>
      <c r="J13" s="22" t="s">
        <v>1913</v>
      </c>
      <c r="K13" s="22" t="s">
        <v>72</v>
      </c>
      <c r="L13" s="22" t="s">
        <v>1914</v>
      </c>
      <c r="M13" s="22" t="s">
        <v>794</v>
      </c>
      <c r="N13" s="22" t="s">
        <v>72</v>
      </c>
      <c r="O13" s="22" t="s">
        <v>1915</v>
      </c>
      <c r="P13" s="22" t="s">
        <v>889</v>
      </c>
      <c r="Q13" s="22" t="s">
        <v>72</v>
      </c>
      <c r="R13" s="22" t="s">
        <v>1916</v>
      </c>
      <c r="S13" s="22" t="s">
        <v>1917</v>
      </c>
      <c r="T13" s="22" t="s">
        <v>72</v>
      </c>
      <c r="U13" s="22" t="s">
        <v>1918</v>
      </c>
      <c r="V13" s="22" t="s">
        <v>1806</v>
      </c>
      <c r="W13" s="22" t="s">
        <v>72</v>
      </c>
      <c r="X13" s="22" t="s">
        <v>1919</v>
      </c>
      <c r="Y13" s="22" t="s">
        <v>1920</v>
      </c>
      <c r="Z13" s="22" t="s">
        <v>1921</v>
      </c>
      <c r="AA13" s="22" t="s">
        <v>1922</v>
      </c>
      <c r="AB13" s="22" t="s">
        <v>236</v>
      </c>
    </row>
    <row r="14" spans="1:28" ht="18" customHeight="1">
      <c r="A14" s="69" t="s">
        <v>1923</v>
      </c>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row>
    <row r="15" spans="1:28" ht="60" customHeight="1">
      <c r="A15" s="25" t="s">
        <v>47</v>
      </c>
      <c r="B15" s="25" t="s">
        <v>1924</v>
      </c>
      <c r="C15" s="25" t="s">
        <v>1925</v>
      </c>
      <c r="D15" s="25" t="s">
        <v>1926</v>
      </c>
      <c r="E15" s="25" t="s">
        <v>1927</v>
      </c>
      <c r="F15" s="25" t="s">
        <v>1928</v>
      </c>
      <c r="G15" s="25" t="s">
        <v>1929</v>
      </c>
      <c r="H15" s="25" t="s">
        <v>72</v>
      </c>
      <c r="I15" s="25" t="s">
        <v>1930</v>
      </c>
      <c r="J15" s="25" t="s">
        <v>1929</v>
      </c>
      <c r="K15" s="25" t="s">
        <v>72</v>
      </c>
      <c r="L15" s="25" t="s">
        <v>1930</v>
      </c>
      <c r="M15" s="25" t="s">
        <v>1929</v>
      </c>
      <c r="N15" s="25" t="s">
        <v>72</v>
      </c>
      <c r="O15" s="25" t="s">
        <v>1930</v>
      </c>
      <c r="P15" s="25" t="s">
        <v>1929</v>
      </c>
      <c r="Q15" s="25" t="s">
        <v>72</v>
      </c>
      <c r="R15" s="25" t="s">
        <v>1930</v>
      </c>
      <c r="S15" s="25" t="s">
        <v>1929</v>
      </c>
      <c r="T15" s="25" t="s">
        <v>72</v>
      </c>
      <c r="U15" s="25" t="s">
        <v>1930</v>
      </c>
      <c r="V15" s="25" t="s">
        <v>1931</v>
      </c>
      <c r="W15" s="25" t="s">
        <v>72</v>
      </c>
      <c r="X15" s="25" t="s">
        <v>1932</v>
      </c>
      <c r="Y15" s="25" t="s">
        <v>1933</v>
      </c>
      <c r="Z15" s="25" t="s">
        <v>1934</v>
      </c>
      <c r="AA15" s="25" t="s">
        <v>1935</v>
      </c>
      <c r="AB15" s="25" t="s">
        <v>236</v>
      </c>
    </row>
    <row r="16" spans="1:28" ht="60" customHeight="1">
      <c r="A16" s="22" t="s">
        <v>47</v>
      </c>
      <c r="B16" s="22" t="s">
        <v>1924</v>
      </c>
      <c r="C16" s="22" t="s">
        <v>1936</v>
      </c>
      <c r="D16" s="22" t="s">
        <v>1937</v>
      </c>
      <c r="E16" s="22" t="s">
        <v>1938</v>
      </c>
      <c r="F16" s="22" t="s">
        <v>1939</v>
      </c>
      <c r="G16" s="22" t="s">
        <v>788</v>
      </c>
      <c r="H16" s="22" t="s">
        <v>72</v>
      </c>
      <c r="I16" s="22" t="s">
        <v>1940</v>
      </c>
      <c r="J16" s="22" t="s">
        <v>91</v>
      </c>
      <c r="K16" s="22" t="s">
        <v>72</v>
      </c>
      <c r="L16" s="22" t="s">
        <v>1940</v>
      </c>
      <c r="M16" s="22" t="s">
        <v>1941</v>
      </c>
      <c r="N16" s="22" t="s">
        <v>72</v>
      </c>
      <c r="O16" s="22" t="s">
        <v>1940</v>
      </c>
      <c r="P16" s="22" t="s">
        <v>1941</v>
      </c>
      <c r="Q16" s="22" t="s">
        <v>72</v>
      </c>
      <c r="R16" s="22" t="s">
        <v>1940</v>
      </c>
      <c r="S16" s="22" t="s">
        <v>646</v>
      </c>
      <c r="T16" s="22" t="s">
        <v>72</v>
      </c>
      <c r="U16" s="22" t="s">
        <v>1940</v>
      </c>
      <c r="V16" s="22" t="s">
        <v>1942</v>
      </c>
      <c r="W16" s="22" t="s">
        <v>72</v>
      </c>
      <c r="X16" s="22" t="s">
        <v>1943</v>
      </c>
      <c r="Y16" s="22" t="s">
        <v>1944</v>
      </c>
      <c r="Z16" s="22" t="s">
        <v>1945</v>
      </c>
      <c r="AA16" s="22" t="s">
        <v>1946</v>
      </c>
      <c r="AB16" s="22" t="s">
        <v>236</v>
      </c>
    </row>
  </sheetData>
  <mergeCells count="5">
    <mergeCell ref="A1:AB1"/>
    <mergeCell ref="A2:AB2"/>
    <mergeCell ref="A4:AB4"/>
    <mergeCell ref="A10:AB10"/>
    <mergeCell ref="A14:AB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8F94-02A8-46D0-9420-B66E43CBC1A4}">
  <dimension ref="A1:K25"/>
  <sheetViews>
    <sheetView zoomScaleNormal="100" workbookViewId="0">
      <pane ySplit="3" topLeftCell="A17" activePane="bottomLeft" state="frozen"/>
      <selection pane="bottomLeft" activeCell="A23" sqref="A23:K23"/>
    </sheetView>
  </sheetViews>
  <sheetFormatPr defaultColWidth="8.7109375" defaultRowHeight="15"/>
  <cols>
    <col min="1" max="1" width="14" customWidth="1"/>
    <col min="2" max="2" width="18" customWidth="1"/>
    <col min="3" max="3" width="22" customWidth="1"/>
    <col min="4" max="5" width="24" customWidth="1"/>
    <col min="6" max="6" width="36" customWidth="1"/>
    <col min="7" max="7" width="20" customWidth="1"/>
    <col min="8" max="8" width="14" customWidth="1"/>
    <col min="9" max="9" width="36" customWidth="1"/>
    <col min="10" max="11" width="16" customWidth="1"/>
  </cols>
  <sheetData>
    <row r="1" spans="1:11" ht="27.75" customHeight="1">
      <c r="A1" s="71" t="s">
        <v>1947</v>
      </c>
      <c r="B1" s="71"/>
      <c r="C1" s="71"/>
      <c r="D1" s="71"/>
      <c r="E1" s="71"/>
      <c r="F1" s="71"/>
      <c r="G1" s="71"/>
      <c r="H1" s="71"/>
      <c r="I1" s="71"/>
      <c r="J1" s="71"/>
      <c r="K1" s="71"/>
    </row>
    <row r="2" spans="1:11" ht="15.75" customHeight="1">
      <c r="A2" s="72" t="s">
        <v>1948</v>
      </c>
      <c r="B2" s="72"/>
      <c r="C2" s="72"/>
      <c r="D2" s="72"/>
      <c r="E2" s="72"/>
      <c r="F2" s="72"/>
      <c r="G2" s="72"/>
      <c r="H2" s="72"/>
      <c r="I2" s="72"/>
      <c r="J2" s="72"/>
      <c r="K2" s="72"/>
    </row>
    <row r="3" spans="1:11" ht="30" customHeight="1">
      <c r="A3" s="26" t="s">
        <v>14</v>
      </c>
      <c r="B3" s="26" t="s">
        <v>16</v>
      </c>
      <c r="C3" s="26" t="s">
        <v>18</v>
      </c>
      <c r="D3" s="26" t="s">
        <v>20</v>
      </c>
      <c r="E3" s="26" t="s">
        <v>22</v>
      </c>
      <c r="F3" s="26" t="s">
        <v>24</v>
      </c>
      <c r="G3" s="26" t="s">
        <v>26</v>
      </c>
      <c r="H3" s="26" t="s">
        <v>1490</v>
      </c>
      <c r="I3" s="26" t="s">
        <v>54</v>
      </c>
      <c r="J3" s="26" t="s">
        <v>1491</v>
      </c>
      <c r="K3" s="26" t="s">
        <v>1492</v>
      </c>
    </row>
    <row r="4" spans="1:11" ht="18" customHeight="1">
      <c r="A4" s="70" t="s">
        <v>1949</v>
      </c>
      <c r="B4" s="70"/>
      <c r="C4" s="70"/>
      <c r="D4" s="70"/>
      <c r="E4" s="70"/>
      <c r="F4" s="70"/>
      <c r="G4" s="70"/>
      <c r="H4" s="70"/>
      <c r="I4" s="70"/>
      <c r="J4" s="70"/>
      <c r="K4" s="70"/>
    </row>
    <row r="5" spans="1:11" ht="45" customHeight="1">
      <c r="A5" s="20" t="s">
        <v>1950</v>
      </c>
      <c r="B5" s="20" t="s">
        <v>1593</v>
      </c>
      <c r="C5" s="20" t="s">
        <v>1594</v>
      </c>
      <c r="D5" s="20" t="s">
        <v>1595</v>
      </c>
      <c r="E5" s="20" t="s">
        <v>1596</v>
      </c>
      <c r="F5" s="20" t="s">
        <v>1951</v>
      </c>
      <c r="G5" s="20" t="s">
        <v>1952</v>
      </c>
      <c r="H5" s="20" t="s">
        <v>72</v>
      </c>
      <c r="I5" s="20" t="s">
        <v>1953</v>
      </c>
      <c r="J5" s="20" t="s">
        <v>1601</v>
      </c>
      <c r="K5" s="20" t="s">
        <v>79</v>
      </c>
    </row>
    <row r="6" spans="1:11" ht="45" customHeight="1">
      <c r="A6" s="27" t="s">
        <v>1950</v>
      </c>
      <c r="B6" s="27" t="s">
        <v>1593</v>
      </c>
      <c r="C6" s="27" t="s">
        <v>1594</v>
      </c>
      <c r="D6" s="27" t="s">
        <v>1606</v>
      </c>
      <c r="E6" s="27" t="s">
        <v>1607</v>
      </c>
      <c r="F6" s="27" t="s">
        <v>1954</v>
      </c>
      <c r="G6" s="27" t="s">
        <v>1952</v>
      </c>
      <c r="H6" s="27" t="s">
        <v>72</v>
      </c>
      <c r="I6" s="27" t="s">
        <v>1955</v>
      </c>
      <c r="J6" s="27" t="s">
        <v>1601</v>
      </c>
      <c r="K6" s="27" t="s">
        <v>79</v>
      </c>
    </row>
    <row r="7" spans="1:11" ht="45" customHeight="1">
      <c r="A7" s="20" t="s">
        <v>1950</v>
      </c>
      <c r="B7" s="20" t="s">
        <v>1593</v>
      </c>
      <c r="C7" s="20" t="s">
        <v>1594</v>
      </c>
      <c r="D7" s="20" t="s">
        <v>1613</v>
      </c>
      <c r="E7" s="20" t="s">
        <v>1614</v>
      </c>
      <c r="F7" s="20" t="s">
        <v>1956</v>
      </c>
      <c r="G7" s="20" t="s">
        <v>1952</v>
      </c>
      <c r="H7" s="20" t="s">
        <v>72</v>
      </c>
      <c r="I7" s="20" t="s">
        <v>1957</v>
      </c>
      <c r="J7" s="20" t="s">
        <v>1601</v>
      </c>
      <c r="K7" s="20" t="s">
        <v>79</v>
      </c>
    </row>
    <row r="8" spans="1:11" ht="45" customHeight="1">
      <c r="A8" s="27" t="s">
        <v>1950</v>
      </c>
      <c r="B8" s="27" t="s">
        <v>1593</v>
      </c>
      <c r="C8" s="27" t="s">
        <v>1620</v>
      </c>
      <c r="D8" s="27" t="s">
        <v>1621</v>
      </c>
      <c r="E8" s="27" t="s">
        <v>1622</v>
      </c>
      <c r="F8" s="27" t="s">
        <v>1958</v>
      </c>
      <c r="G8" s="27" t="s">
        <v>1952</v>
      </c>
      <c r="H8" s="27" t="s">
        <v>72</v>
      </c>
      <c r="I8" s="27" t="s">
        <v>1624</v>
      </c>
      <c r="J8" s="27" t="s">
        <v>1601</v>
      </c>
      <c r="K8" s="27" t="s">
        <v>79</v>
      </c>
    </row>
    <row r="9" spans="1:11" ht="18" customHeight="1">
      <c r="A9" s="70" t="s">
        <v>1959</v>
      </c>
      <c r="B9" s="70"/>
      <c r="C9" s="70"/>
      <c r="D9" s="70"/>
      <c r="E9" s="70"/>
      <c r="F9" s="70"/>
      <c r="G9" s="70"/>
      <c r="H9" s="70"/>
      <c r="I9" s="70"/>
      <c r="J9" s="70"/>
      <c r="K9" s="70"/>
    </row>
    <row r="10" spans="1:11" ht="45" customHeight="1">
      <c r="A10" s="27" t="s">
        <v>1950</v>
      </c>
      <c r="B10" s="27" t="s">
        <v>1699</v>
      </c>
      <c r="C10" s="27" t="s">
        <v>1700</v>
      </c>
      <c r="D10" s="27" t="s">
        <v>1701</v>
      </c>
      <c r="E10" s="27" t="s">
        <v>1702</v>
      </c>
      <c r="F10" s="27" t="s">
        <v>1960</v>
      </c>
      <c r="G10" s="27" t="s">
        <v>1598</v>
      </c>
      <c r="H10" s="27" t="s">
        <v>72</v>
      </c>
      <c r="I10" s="27" t="s">
        <v>1961</v>
      </c>
      <c r="J10" s="27" t="s">
        <v>1601</v>
      </c>
      <c r="K10" s="27" t="s">
        <v>79</v>
      </c>
    </row>
    <row r="11" spans="1:11" ht="45" customHeight="1">
      <c r="A11" s="20" t="s">
        <v>1950</v>
      </c>
      <c r="B11" s="20" t="s">
        <v>1699</v>
      </c>
      <c r="C11" s="20" t="s">
        <v>1962</v>
      </c>
      <c r="D11" s="20" t="s">
        <v>1678</v>
      </c>
      <c r="E11" s="20" t="s">
        <v>1679</v>
      </c>
      <c r="F11" s="20" t="s">
        <v>1963</v>
      </c>
      <c r="G11" s="20" t="s">
        <v>1681</v>
      </c>
      <c r="H11" s="20" t="s">
        <v>72</v>
      </c>
      <c r="I11" s="20" t="s">
        <v>1964</v>
      </c>
      <c r="J11" s="20" t="s">
        <v>1683</v>
      </c>
      <c r="K11" s="20" t="s">
        <v>79</v>
      </c>
    </row>
    <row r="12" spans="1:11" ht="18" customHeight="1">
      <c r="A12" s="70" t="s">
        <v>1759</v>
      </c>
      <c r="B12" s="70"/>
      <c r="C12" s="70"/>
      <c r="D12" s="70"/>
      <c r="E12" s="70"/>
      <c r="F12" s="70"/>
      <c r="G12" s="70"/>
      <c r="H12" s="70"/>
      <c r="I12" s="70"/>
      <c r="J12" s="70"/>
      <c r="K12" s="70"/>
    </row>
    <row r="13" spans="1:11" ht="45" customHeight="1">
      <c r="A13" s="20" t="s">
        <v>1950</v>
      </c>
      <c r="B13" s="20" t="s">
        <v>1710</v>
      </c>
      <c r="C13" s="20" t="s">
        <v>1731</v>
      </c>
      <c r="D13" s="20" t="s">
        <v>1732</v>
      </c>
      <c r="E13" s="20" t="s">
        <v>1733</v>
      </c>
      <c r="F13" s="20" t="s">
        <v>1965</v>
      </c>
      <c r="G13" s="20" t="s">
        <v>1341</v>
      </c>
      <c r="H13" s="20" t="s">
        <v>72</v>
      </c>
      <c r="I13" s="20" t="s">
        <v>1966</v>
      </c>
      <c r="J13" s="20" t="s">
        <v>1736</v>
      </c>
      <c r="K13" s="20" t="s">
        <v>79</v>
      </c>
    </row>
    <row r="14" spans="1:11" ht="45" customHeight="1">
      <c r="A14" s="27" t="s">
        <v>1950</v>
      </c>
      <c r="B14" s="27" t="s">
        <v>1710</v>
      </c>
      <c r="C14" s="27" t="s">
        <v>1721</v>
      </c>
      <c r="D14" s="27" t="s">
        <v>1722</v>
      </c>
      <c r="E14" s="27" t="s">
        <v>1723</v>
      </c>
      <c r="F14" s="27" t="s">
        <v>1967</v>
      </c>
      <c r="G14" s="27" t="s">
        <v>1725</v>
      </c>
      <c r="H14" s="27" t="s">
        <v>72</v>
      </c>
      <c r="I14" s="27" t="s">
        <v>1968</v>
      </c>
      <c r="J14" s="27" t="s">
        <v>1646</v>
      </c>
      <c r="K14" s="27" t="s">
        <v>79</v>
      </c>
    </row>
    <row r="15" spans="1:11" ht="45" customHeight="1">
      <c r="A15" s="20" t="s">
        <v>1950</v>
      </c>
      <c r="B15" s="20" t="s">
        <v>1710</v>
      </c>
      <c r="C15" s="20" t="s">
        <v>1782</v>
      </c>
      <c r="D15" s="20" t="s">
        <v>1783</v>
      </c>
      <c r="E15" s="20" t="s">
        <v>1784</v>
      </c>
      <c r="F15" s="20" t="s">
        <v>1969</v>
      </c>
      <c r="G15" s="20" t="s">
        <v>1786</v>
      </c>
      <c r="H15" s="20" t="s">
        <v>72</v>
      </c>
      <c r="I15" s="20" t="s">
        <v>1970</v>
      </c>
      <c r="J15" s="20" t="s">
        <v>1971</v>
      </c>
      <c r="K15" s="20" t="s">
        <v>79</v>
      </c>
    </row>
    <row r="16" spans="1:11" ht="18" customHeight="1">
      <c r="A16" s="73" t="s">
        <v>1972</v>
      </c>
      <c r="B16" s="73"/>
      <c r="C16" s="73"/>
      <c r="D16" s="73"/>
      <c r="E16" s="73"/>
      <c r="F16" s="73"/>
      <c r="G16" s="73"/>
      <c r="H16" s="73"/>
      <c r="I16" s="73"/>
      <c r="J16" s="73"/>
      <c r="K16" s="73"/>
    </row>
    <row r="17" spans="1:11" ht="45" customHeight="1">
      <c r="A17" s="20" t="s">
        <v>1950</v>
      </c>
      <c r="B17" s="20" t="s">
        <v>1638</v>
      </c>
      <c r="C17" s="20" t="s">
        <v>1639</v>
      </c>
      <c r="D17" s="20" t="s">
        <v>1640</v>
      </c>
      <c r="E17" s="20" t="s">
        <v>1641</v>
      </c>
      <c r="F17" s="20" t="s">
        <v>1973</v>
      </c>
      <c r="G17" s="20" t="s">
        <v>1643</v>
      </c>
      <c r="H17" s="20" t="s">
        <v>72</v>
      </c>
      <c r="I17" s="20" t="s">
        <v>1974</v>
      </c>
      <c r="J17" s="20" t="s">
        <v>1646</v>
      </c>
      <c r="K17" s="20" t="s">
        <v>79</v>
      </c>
    </row>
    <row r="18" spans="1:11" ht="45" customHeight="1">
      <c r="A18" s="27" t="s">
        <v>1950</v>
      </c>
      <c r="B18" s="27" t="s">
        <v>1638</v>
      </c>
      <c r="C18" s="27" t="s">
        <v>1650</v>
      </c>
      <c r="D18" s="27" t="s">
        <v>1651</v>
      </c>
      <c r="E18" s="27" t="s">
        <v>1652</v>
      </c>
      <c r="F18" s="27" t="s">
        <v>1975</v>
      </c>
      <c r="G18" s="27" t="s">
        <v>1654</v>
      </c>
      <c r="H18" s="27" t="s">
        <v>72</v>
      </c>
      <c r="I18" s="27" t="s">
        <v>1976</v>
      </c>
      <c r="J18" s="27" t="s">
        <v>1646</v>
      </c>
      <c r="K18" s="27" t="s">
        <v>79</v>
      </c>
    </row>
    <row r="19" spans="1:11" ht="45" customHeight="1">
      <c r="A19" s="20" t="s">
        <v>1950</v>
      </c>
      <c r="B19" s="20" t="s">
        <v>1638</v>
      </c>
      <c r="C19" s="20" t="s">
        <v>1660</v>
      </c>
      <c r="D19" s="20" t="s">
        <v>1661</v>
      </c>
      <c r="E19" s="20" t="s">
        <v>1662</v>
      </c>
      <c r="F19" s="20" t="s">
        <v>1977</v>
      </c>
      <c r="G19" s="20" t="s">
        <v>1645</v>
      </c>
      <c r="H19" s="20" t="s">
        <v>72</v>
      </c>
      <c r="I19" s="20" t="s">
        <v>1978</v>
      </c>
      <c r="J19" s="20" t="s">
        <v>1646</v>
      </c>
      <c r="K19" s="20" t="s">
        <v>79</v>
      </c>
    </row>
    <row r="20" spans="1:11" ht="45" customHeight="1">
      <c r="A20" s="27" t="s">
        <v>1950</v>
      </c>
      <c r="B20" s="27" t="s">
        <v>1638</v>
      </c>
      <c r="C20" s="27" t="s">
        <v>1669</v>
      </c>
      <c r="D20" s="27" t="s">
        <v>1670</v>
      </c>
      <c r="E20" s="27" t="s">
        <v>1671</v>
      </c>
      <c r="F20" s="27" t="s">
        <v>1979</v>
      </c>
      <c r="G20" s="27" t="s">
        <v>1598</v>
      </c>
      <c r="H20" s="27" t="s">
        <v>72</v>
      </c>
      <c r="I20" s="27" t="s">
        <v>1980</v>
      </c>
      <c r="J20" s="27" t="s">
        <v>1601</v>
      </c>
      <c r="K20" s="27" t="s">
        <v>79</v>
      </c>
    </row>
    <row r="21" spans="1:11" ht="45" customHeight="1">
      <c r="A21" s="20" t="s">
        <v>1950</v>
      </c>
      <c r="B21" s="20" t="s">
        <v>1638</v>
      </c>
      <c r="C21" s="20" t="s">
        <v>1711</v>
      </c>
      <c r="D21" s="20" t="s">
        <v>1712</v>
      </c>
      <c r="E21" s="20" t="s">
        <v>1713</v>
      </c>
      <c r="F21" s="20" t="s">
        <v>1981</v>
      </c>
      <c r="G21" s="20" t="s">
        <v>1715</v>
      </c>
      <c r="H21" s="20" t="s">
        <v>72</v>
      </c>
      <c r="I21" s="20" t="s">
        <v>1982</v>
      </c>
      <c r="J21" s="20" t="s">
        <v>1717</v>
      </c>
      <c r="K21" s="20" t="s">
        <v>79</v>
      </c>
    </row>
    <row r="22" spans="1:11" ht="45" customHeight="1">
      <c r="A22" s="27" t="s">
        <v>1950</v>
      </c>
      <c r="B22" s="27" t="s">
        <v>1638</v>
      </c>
      <c r="C22" s="27" t="s">
        <v>1688</v>
      </c>
      <c r="D22" s="27" t="s">
        <v>1689</v>
      </c>
      <c r="E22" s="27" t="s">
        <v>1690</v>
      </c>
      <c r="F22" s="27" t="s">
        <v>1983</v>
      </c>
      <c r="G22" s="27" t="s">
        <v>1692</v>
      </c>
      <c r="H22" s="27" t="s">
        <v>72</v>
      </c>
      <c r="I22" s="27" t="s">
        <v>1984</v>
      </c>
      <c r="J22" s="27" t="s">
        <v>1646</v>
      </c>
      <c r="K22" s="27" t="s">
        <v>79</v>
      </c>
    </row>
    <row r="23" spans="1:11" ht="18" customHeight="1">
      <c r="A23" s="70" t="s">
        <v>1985</v>
      </c>
      <c r="B23" s="70"/>
      <c r="C23" s="70"/>
      <c r="D23" s="70"/>
      <c r="E23" s="70"/>
      <c r="F23" s="70"/>
      <c r="G23" s="70"/>
      <c r="H23" s="70"/>
      <c r="I23" s="70"/>
      <c r="J23" s="70"/>
      <c r="K23" s="70"/>
    </row>
    <row r="24" spans="1:11" ht="45" customHeight="1">
      <c r="A24" s="27" t="s">
        <v>1950</v>
      </c>
      <c r="B24" s="27" t="s">
        <v>1567</v>
      </c>
      <c r="C24" s="27" t="s">
        <v>1741</v>
      </c>
      <c r="D24" s="27" t="s">
        <v>1742</v>
      </c>
      <c r="E24" s="27" t="s">
        <v>1743</v>
      </c>
      <c r="F24" s="27" t="s">
        <v>1986</v>
      </c>
      <c r="G24" s="27" t="s">
        <v>1745</v>
      </c>
      <c r="H24" s="27" t="s">
        <v>72</v>
      </c>
      <c r="I24" s="27" t="s">
        <v>1987</v>
      </c>
      <c r="J24" s="27" t="s">
        <v>1748</v>
      </c>
      <c r="K24" s="27" t="s">
        <v>1988</v>
      </c>
    </row>
    <row r="25" spans="1:11" ht="45" customHeight="1">
      <c r="A25" s="20" t="s">
        <v>1950</v>
      </c>
      <c r="B25" s="20" t="s">
        <v>1567</v>
      </c>
      <c r="C25" s="20" t="s">
        <v>1568</v>
      </c>
      <c r="D25" s="20" t="s">
        <v>1569</v>
      </c>
      <c r="E25" s="20" t="s">
        <v>1570</v>
      </c>
      <c r="F25" s="20" t="s">
        <v>1989</v>
      </c>
      <c r="G25" s="20" t="s">
        <v>1990</v>
      </c>
      <c r="H25" s="20" t="s">
        <v>72</v>
      </c>
      <c r="I25" s="20" t="s">
        <v>1573</v>
      </c>
      <c r="J25" s="20" t="s">
        <v>1755</v>
      </c>
      <c r="K25" s="20" t="s">
        <v>1991</v>
      </c>
    </row>
  </sheetData>
  <mergeCells count="7">
    <mergeCell ref="A23:K23"/>
    <mergeCell ref="A1:K1"/>
    <mergeCell ref="A2:K2"/>
    <mergeCell ref="A4:K4"/>
    <mergeCell ref="A9:K9"/>
    <mergeCell ref="A12:K12"/>
    <mergeCell ref="A16:K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7DBF6-1CA3-4D99-BBEC-DE5832066DC5}">
  <dimension ref="A1:Q23"/>
  <sheetViews>
    <sheetView workbookViewId="0">
      <pane ySplit="3" topLeftCell="A4" activePane="bottomLeft" state="frozen"/>
      <selection pane="bottomLeft" activeCell="A4" sqref="A4"/>
    </sheetView>
  </sheetViews>
  <sheetFormatPr defaultColWidth="8.85546875" defaultRowHeight="15"/>
  <cols>
    <col min="1" max="1" width="18" customWidth="1"/>
    <col min="2" max="2" width="22" customWidth="1"/>
    <col min="3" max="3" width="28" customWidth="1"/>
    <col min="4" max="5" width="30" customWidth="1"/>
    <col min="6" max="6" width="45" customWidth="1"/>
    <col min="7" max="7" width="22" customWidth="1"/>
    <col min="8" max="8" width="14" customWidth="1"/>
    <col min="9" max="9" width="35" customWidth="1"/>
    <col min="10" max="11" width="18" customWidth="1"/>
    <col min="12" max="12" width="20" customWidth="1"/>
    <col min="13" max="13" width="14" customWidth="1"/>
    <col min="14" max="14" width="45" customWidth="1"/>
    <col min="15" max="16" width="35" customWidth="1"/>
    <col min="17" max="17" width="18" customWidth="1"/>
  </cols>
  <sheetData>
    <row r="1" spans="1:17" ht="24.95" customHeight="1">
      <c r="A1" s="67" t="s">
        <v>1992</v>
      </c>
      <c r="B1" s="75"/>
      <c r="C1" s="75"/>
      <c r="D1" s="75"/>
      <c r="E1" s="75"/>
      <c r="F1" s="75"/>
      <c r="G1" s="75"/>
      <c r="H1" s="75"/>
      <c r="I1" s="75"/>
      <c r="J1" s="75"/>
      <c r="K1" s="75"/>
      <c r="L1" s="75"/>
      <c r="M1" s="75"/>
      <c r="N1" s="75"/>
      <c r="O1" s="75"/>
      <c r="P1" s="75"/>
      <c r="Q1" s="75"/>
    </row>
    <row r="2" spans="1:17" ht="20.100000000000001" customHeight="1">
      <c r="A2" s="68" t="s">
        <v>1993</v>
      </c>
      <c r="B2" s="75"/>
      <c r="C2" s="75"/>
      <c r="D2" s="75"/>
      <c r="E2" s="75"/>
      <c r="F2" s="75"/>
      <c r="G2" s="75"/>
      <c r="H2" s="75"/>
      <c r="I2" s="75"/>
      <c r="J2" s="75"/>
      <c r="K2" s="75"/>
      <c r="L2" s="75"/>
      <c r="M2" s="75"/>
      <c r="N2" s="75"/>
      <c r="O2" s="75"/>
      <c r="P2" s="75"/>
      <c r="Q2" s="75"/>
    </row>
    <row r="3" spans="1:17" ht="35.1" customHeight="1">
      <c r="A3" s="24" t="s">
        <v>14</v>
      </c>
      <c r="B3" s="24" t="s">
        <v>16</v>
      </c>
      <c r="C3" s="24" t="s">
        <v>18</v>
      </c>
      <c r="D3" s="24" t="s">
        <v>20</v>
      </c>
      <c r="E3" s="24" t="s">
        <v>22</v>
      </c>
      <c r="F3" s="24" t="s">
        <v>24</v>
      </c>
      <c r="G3" s="24" t="s">
        <v>26</v>
      </c>
      <c r="H3" s="24" t="s">
        <v>1490</v>
      </c>
      <c r="I3" s="24" t="s">
        <v>54</v>
      </c>
      <c r="J3" s="24" t="s">
        <v>28</v>
      </c>
      <c r="K3" s="24" t="s">
        <v>30</v>
      </c>
      <c r="L3" s="24" t="s">
        <v>1491</v>
      </c>
      <c r="M3" s="24" t="s">
        <v>1492</v>
      </c>
      <c r="N3" s="24" t="s">
        <v>34</v>
      </c>
      <c r="O3" s="24" t="s">
        <v>36</v>
      </c>
      <c r="P3" s="24" t="s">
        <v>38</v>
      </c>
      <c r="Q3" s="24" t="s">
        <v>40</v>
      </c>
    </row>
    <row r="4" spans="1:17" ht="18" customHeight="1">
      <c r="A4" s="69" t="s">
        <v>1994</v>
      </c>
      <c r="B4" s="75"/>
      <c r="C4" s="75"/>
      <c r="D4" s="75"/>
      <c r="E4" s="75"/>
      <c r="F4" s="75"/>
      <c r="G4" s="75"/>
      <c r="H4" s="75"/>
      <c r="I4" s="75"/>
      <c r="J4" s="75"/>
      <c r="K4" s="75"/>
      <c r="L4" s="75"/>
      <c r="M4" s="75"/>
      <c r="N4" s="75"/>
      <c r="O4" s="75"/>
      <c r="P4" s="75"/>
      <c r="Q4" s="75"/>
    </row>
    <row r="5" spans="1:17" ht="60" customHeight="1">
      <c r="A5" s="22" t="s">
        <v>47</v>
      </c>
      <c r="B5" s="22" t="s">
        <v>47</v>
      </c>
      <c r="C5" s="22" t="s">
        <v>1995</v>
      </c>
      <c r="D5" s="22" t="s">
        <v>1996</v>
      </c>
      <c r="E5" s="22" t="s">
        <v>1997</v>
      </c>
      <c r="F5" s="22" t="s">
        <v>1998</v>
      </c>
      <c r="G5" s="22" t="s">
        <v>1999</v>
      </c>
      <c r="H5" s="22" t="s">
        <v>79</v>
      </c>
      <c r="I5" s="22" t="s">
        <v>2000</v>
      </c>
      <c r="J5" s="22" t="s">
        <v>2001</v>
      </c>
      <c r="K5" s="22" t="s">
        <v>2002</v>
      </c>
      <c r="L5" s="22" t="s">
        <v>2003</v>
      </c>
      <c r="M5" s="22" t="s">
        <v>79</v>
      </c>
      <c r="N5" s="22" t="s">
        <v>2004</v>
      </c>
      <c r="O5" s="22" t="s">
        <v>2005</v>
      </c>
      <c r="P5" s="22" t="s">
        <v>2006</v>
      </c>
      <c r="Q5" s="22" t="s">
        <v>553</v>
      </c>
    </row>
    <row r="6" spans="1:17" ht="60" customHeight="1">
      <c r="A6" s="25" t="s">
        <v>47</v>
      </c>
      <c r="B6" s="25" t="s">
        <v>47</v>
      </c>
      <c r="C6" s="25" t="s">
        <v>1995</v>
      </c>
      <c r="D6" s="25" t="s">
        <v>2007</v>
      </c>
      <c r="E6" s="25" t="s">
        <v>2008</v>
      </c>
      <c r="F6" s="25" t="s">
        <v>2009</v>
      </c>
      <c r="G6" s="25" t="s">
        <v>1999</v>
      </c>
      <c r="H6" s="25" t="s">
        <v>72</v>
      </c>
      <c r="I6" s="25" t="s">
        <v>2010</v>
      </c>
      <c r="J6" s="25" t="s">
        <v>2011</v>
      </c>
      <c r="K6" s="25" t="s">
        <v>2012</v>
      </c>
      <c r="L6" s="25" t="s">
        <v>2013</v>
      </c>
      <c r="M6" s="25" t="s">
        <v>79</v>
      </c>
      <c r="N6" s="25" t="s">
        <v>2014</v>
      </c>
      <c r="O6" s="25" t="s">
        <v>2015</v>
      </c>
      <c r="P6" s="25" t="s">
        <v>2016</v>
      </c>
      <c r="Q6" s="25" t="s">
        <v>1605</v>
      </c>
    </row>
    <row r="7" spans="1:17" ht="60" customHeight="1">
      <c r="A7" s="22" t="s">
        <v>47</v>
      </c>
      <c r="B7" s="22" t="s">
        <v>47</v>
      </c>
      <c r="C7" s="22" t="s">
        <v>1995</v>
      </c>
      <c r="D7" s="22" t="s">
        <v>2017</v>
      </c>
      <c r="E7" s="22" t="s">
        <v>2018</v>
      </c>
      <c r="F7" s="22" t="s">
        <v>2019</v>
      </c>
      <c r="G7" s="22" t="s">
        <v>1999</v>
      </c>
      <c r="H7" s="22" t="s">
        <v>72</v>
      </c>
      <c r="I7" s="22" t="s">
        <v>2020</v>
      </c>
      <c r="J7" s="22" t="s">
        <v>2011</v>
      </c>
      <c r="K7" s="22" t="s">
        <v>2021</v>
      </c>
      <c r="L7" s="22" t="s">
        <v>2022</v>
      </c>
      <c r="M7" s="22" t="s">
        <v>79</v>
      </c>
      <c r="N7" s="22" t="s">
        <v>2023</v>
      </c>
      <c r="O7" s="22" t="s">
        <v>2024</v>
      </c>
      <c r="P7" s="22" t="s">
        <v>2025</v>
      </c>
      <c r="Q7" s="22" t="s">
        <v>87</v>
      </c>
    </row>
    <row r="8" spans="1:17" ht="60" customHeight="1">
      <c r="A8" s="25" t="s">
        <v>47</v>
      </c>
      <c r="B8" s="25" t="s">
        <v>47</v>
      </c>
      <c r="C8" s="25" t="s">
        <v>1995</v>
      </c>
      <c r="D8" s="25" t="s">
        <v>2026</v>
      </c>
      <c r="E8" s="25" t="s">
        <v>2027</v>
      </c>
      <c r="F8" s="25" t="s">
        <v>2028</v>
      </c>
      <c r="G8" s="25" t="s">
        <v>1999</v>
      </c>
      <c r="H8" s="25" t="s">
        <v>79</v>
      </c>
      <c r="I8" s="25" t="s">
        <v>2029</v>
      </c>
      <c r="J8" s="25" t="s">
        <v>2011</v>
      </c>
      <c r="K8" s="25" t="s">
        <v>2030</v>
      </c>
      <c r="L8" s="25" t="s">
        <v>2003</v>
      </c>
      <c r="M8" s="25" t="s">
        <v>79</v>
      </c>
      <c r="N8" s="25" t="s">
        <v>2031</v>
      </c>
      <c r="O8" s="25" t="s">
        <v>2032</v>
      </c>
      <c r="P8" s="25" t="s">
        <v>2033</v>
      </c>
      <c r="Q8" s="25" t="s">
        <v>1605</v>
      </c>
    </row>
    <row r="9" spans="1:17" ht="18" customHeight="1">
      <c r="A9" s="69" t="s">
        <v>2034</v>
      </c>
      <c r="B9" s="75"/>
      <c r="C9" s="75"/>
      <c r="D9" s="75"/>
      <c r="E9" s="75"/>
      <c r="F9" s="75"/>
      <c r="G9" s="75"/>
      <c r="H9" s="75"/>
      <c r="I9" s="75"/>
      <c r="J9" s="75"/>
      <c r="K9" s="75"/>
      <c r="L9" s="75"/>
      <c r="M9" s="75"/>
      <c r="N9" s="75"/>
      <c r="O9" s="75"/>
      <c r="P9" s="75"/>
      <c r="Q9" s="75"/>
    </row>
    <row r="10" spans="1:17" ht="60" customHeight="1">
      <c r="A10" s="22" t="s">
        <v>47</v>
      </c>
      <c r="B10" s="22" t="s">
        <v>2035</v>
      </c>
      <c r="C10" s="22" t="s">
        <v>2036</v>
      </c>
      <c r="D10" s="22" t="s">
        <v>2037</v>
      </c>
      <c r="E10" s="22" t="s">
        <v>2038</v>
      </c>
      <c r="F10" s="22" t="s">
        <v>2039</v>
      </c>
      <c r="G10" s="22" t="s">
        <v>1999</v>
      </c>
      <c r="H10" s="22" t="s">
        <v>79</v>
      </c>
      <c r="I10" s="22" t="s">
        <v>2040</v>
      </c>
      <c r="J10" s="22" t="s">
        <v>2011</v>
      </c>
      <c r="K10" s="22" t="s">
        <v>2041</v>
      </c>
      <c r="L10" s="22" t="s">
        <v>2042</v>
      </c>
      <c r="M10" s="22" t="s">
        <v>79</v>
      </c>
      <c r="N10" s="22" t="s">
        <v>2043</v>
      </c>
      <c r="O10" s="22" t="s">
        <v>2044</v>
      </c>
      <c r="P10" s="22" t="s">
        <v>2045</v>
      </c>
      <c r="Q10" s="22" t="s">
        <v>87</v>
      </c>
    </row>
    <row r="11" spans="1:17" ht="60" customHeight="1">
      <c r="A11" s="25" t="s">
        <v>47</v>
      </c>
      <c r="B11" s="25" t="s">
        <v>2035</v>
      </c>
      <c r="C11" s="25" t="s">
        <v>2046</v>
      </c>
      <c r="D11" s="25" t="s">
        <v>2047</v>
      </c>
      <c r="E11" s="25" t="s">
        <v>2048</v>
      </c>
      <c r="F11" s="25" t="s">
        <v>2049</v>
      </c>
      <c r="G11" s="25" t="s">
        <v>1999</v>
      </c>
      <c r="H11" s="25" t="s">
        <v>79</v>
      </c>
      <c r="I11" s="25" t="s">
        <v>2050</v>
      </c>
      <c r="J11" s="25" t="s">
        <v>2011</v>
      </c>
      <c r="K11" s="25" t="s">
        <v>2051</v>
      </c>
      <c r="L11" s="25" t="s">
        <v>2003</v>
      </c>
      <c r="M11" s="25" t="s">
        <v>79</v>
      </c>
      <c r="N11" s="25" t="s">
        <v>2052</v>
      </c>
      <c r="O11" s="25" t="s">
        <v>2053</v>
      </c>
      <c r="P11" s="25" t="s">
        <v>2054</v>
      </c>
      <c r="Q11" s="25" t="s">
        <v>87</v>
      </c>
    </row>
    <row r="12" spans="1:17" ht="60" customHeight="1">
      <c r="A12" s="22" t="s">
        <v>47</v>
      </c>
      <c r="B12" s="22" t="s">
        <v>2035</v>
      </c>
      <c r="C12" s="22" t="s">
        <v>2046</v>
      </c>
      <c r="D12" s="22" t="s">
        <v>2055</v>
      </c>
      <c r="E12" s="22" t="s">
        <v>2056</v>
      </c>
      <c r="F12" s="22" t="s">
        <v>2057</v>
      </c>
      <c r="G12" s="22" t="s">
        <v>1999</v>
      </c>
      <c r="H12" s="22" t="s">
        <v>79</v>
      </c>
      <c r="I12" s="22" t="s">
        <v>2058</v>
      </c>
      <c r="J12" s="22" t="s">
        <v>2011</v>
      </c>
      <c r="K12" s="22" t="s">
        <v>2059</v>
      </c>
      <c r="L12" s="22" t="s">
        <v>2003</v>
      </c>
      <c r="M12" s="22" t="s">
        <v>79</v>
      </c>
      <c r="N12" s="22" t="s">
        <v>2060</v>
      </c>
      <c r="O12" s="22" t="s">
        <v>2061</v>
      </c>
      <c r="P12" s="22" t="s">
        <v>2062</v>
      </c>
      <c r="Q12" s="22" t="s">
        <v>87</v>
      </c>
    </row>
    <row r="13" spans="1:17" ht="60" customHeight="1">
      <c r="A13" s="25" t="s">
        <v>47</v>
      </c>
      <c r="B13" s="25" t="s">
        <v>2035</v>
      </c>
      <c r="C13" s="25" t="s">
        <v>2046</v>
      </c>
      <c r="D13" s="25" t="s">
        <v>2063</v>
      </c>
      <c r="E13" s="25" t="s">
        <v>2064</v>
      </c>
      <c r="F13" s="25" t="s">
        <v>2065</v>
      </c>
      <c r="G13" s="25" t="s">
        <v>1999</v>
      </c>
      <c r="H13" s="25" t="s">
        <v>79</v>
      </c>
      <c r="I13" s="25" t="s">
        <v>2066</v>
      </c>
      <c r="J13" s="25" t="s">
        <v>2011</v>
      </c>
      <c r="K13" s="25" t="s">
        <v>2030</v>
      </c>
      <c r="L13" s="25" t="s">
        <v>2003</v>
      </c>
      <c r="M13" s="25" t="s">
        <v>79</v>
      </c>
      <c r="N13" s="25" t="s">
        <v>2067</v>
      </c>
      <c r="O13" s="25" t="s">
        <v>2068</v>
      </c>
      <c r="P13" s="25" t="s">
        <v>2069</v>
      </c>
      <c r="Q13" s="25" t="s">
        <v>87</v>
      </c>
    </row>
    <row r="14" spans="1:17" ht="60" customHeight="1">
      <c r="A14" s="22" t="s">
        <v>47</v>
      </c>
      <c r="B14" s="22" t="s">
        <v>2035</v>
      </c>
      <c r="C14" s="22" t="s">
        <v>2070</v>
      </c>
      <c r="D14" s="22" t="s">
        <v>2071</v>
      </c>
      <c r="E14" s="22" t="s">
        <v>2072</v>
      </c>
      <c r="F14" s="22" t="s">
        <v>2073</v>
      </c>
      <c r="G14" s="22" t="s">
        <v>1999</v>
      </c>
      <c r="H14" s="22" t="s">
        <v>79</v>
      </c>
      <c r="I14" s="22" t="s">
        <v>2074</v>
      </c>
      <c r="J14" s="22" t="s">
        <v>2011</v>
      </c>
      <c r="K14" s="22" t="s">
        <v>2075</v>
      </c>
      <c r="L14" s="22" t="s">
        <v>2003</v>
      </c>
      <c r="M14" s="22" t="s">
        <v>79</v>
      </c>
      <c r="N14" s="22" t="s">
        <v>2076</v>
      </c>
      <c r="O14" s="22" t="s">
        <v>2077</v>
      </c>
      <c r="P14" s="22" t="s">
        <v>2078</v>
      </c>
      <c r="Q14" s="22" t="s">
        <v>87</v>
      </c>
    </row>
    <row r="15" spans="1:17" ht="18" customHeight="1">
      <c r="A15" s="69" t="s">
        <v>2079</v>
      </c>
      <c r="B15" s="75"/>
      <c r="C15" s="75"/>
      <c r="D15" s="75"/>
      <c r="E15" s="75"/>
      <c r="F15" s="75"/>
      <c r="G15" s="75"/>
      <c r="H15" s="75"/>
      <c r="I15" s="75"/>
      <c r="J15" s="75"/>
      <c r="K15" s="75"/>
      <c r="L15" s="75"/>
      <c r="M15" s="75"/>
      <c r="N15" s="75"/>
      <c r="O15" s="75"/>
      <c r="P15" s="75"/>
      <c r="Q15" s="75"/>
    </row>
    <row r="16" spans="1:17" ht="60" customHeight="1">
      <c r="A16" s="25" t="s">
        <v>47</v>
      </c>
      <c r="B16" s="25" t="s">
        <v>47</v>
      </c>
      <c r="C16" s="25" t="s">
        <v>2080</v>
      </c>
      <c r="D16" s="25" t="s">
        <v>2081</v>
      </c>
      <c r="E16" s="25" t="s">
        <v>2082</v>
      </c>
      <c r="F16" s="25" t="s">
        <v>2083</v>
      </c>
      <c r="G16" s="25" t="s">
        <v>1999</v>
      </c>
      <c r="H16" s="25" t="s">
        <v>79</v>
      </c>
      <c r="I16" s="25" t="s">
        <v>2084</v>
      </c>
      <c r="J16" s="25" t="s">
        <v>2011</v>
      </c>
      <c r="K16" s="25" t="s">
        <v>2085</v>
      </c>
      <c r="L16" s="25" t="s">
        <v>2086</v>
      </c>
      <c r="M16" s="25" t="s">
        <v>79</v>
      </c>
      <c r="N16" s="25" t="s">
        <v>2087</v>
      </c>
      <c r="O16" s="25" t="s">
        <v>2088</v>
      </c>
      <c r="P16" s="25" t="s">
        <v>2089</v>
      </c>
      <c r="Q16" s="25" t="s">
        <v>1605</v>
      </c>
    </row>
    <row r="17" spans="1:17" ht="60" customHeight="1">
      <c r="A17" s="22" t="s">
        <v>47</v>
      </c>
      <c r="B17" s="22" t="s">
        <v>47</v>
      </c>
      <c r="C17" s="22" t="s">
        <v>2081</v>
      </c>
      <c r="D17" s="22" t="s">
        <v>2090</v>
      </c>
      <c r="E17" s="22" t="s">
        <v>2091</v>
      </c>
      <c r="F17" s="22" t="s">
        <v>2092</v>
      </c>
      <c r="G17" s="22" t="s">
        <v>2093</v>
      </c>
      <c r="H17" s="22" t="s">
        <v>72</v>
      </c>
      <c r="I17" s="22" t="s">
        <v>2094</v>
      </c>
      <c r="J17" s="22" t="s">
        <v>2095</v>
      </c>
      <c r="K17" s="22" t="s">
        <v>2096</v>
      </c>
      <c r="L17" s="22" t="s">
        <v>2086</v>
      </c>
      <c r="M17" s="22" t="s">
        <v>79</v>
      </c>
      <c r="N17" s="22" t="s">
        <v>2097</v>
      </c>
      <c r="O17" s="22" t="s">
        <v>2098</v>
      </c>
      <c r="P17" s="22" t="s">
        <v>2099</v>
      </c>
      <c r="Q17" s="22" t="s">
        <v>1605</v>
      </c>
    </row>
    <row r="18" spans="1:17" ht="60" customHeight="1">
      <c r="A18" s="25" t="s">
        <v>47</v>
      </c>
      <c r="B18" s="25" t="s">
        <v>47</v>
      </c>
      <c r="C18" s="25" t="s">
        <v>2100</v>
      </c>
      <c r="D18" s="25" t="s">
        <v>2101</v>
      </c>
      <c r="E18" s="25" t="s">
        <v>2102</v>
      </c>
      <c r="F18" s="25" t="s">
        <v>2103</v>
      </c>
      <c r="G18" s="25" t="s">
        <v>1999</v>
      </c>
      <c r="H18" s="25" t="s">
        <v>79</v>
      </c>
      <c r="I18" s="25" t="s">
        <v>2104</v>
      </c>
      <c r="J18" s="25" t="s">
        <v>2011</v>
      </c>
      <c r="K18" s="25" t="s">
        <v>2105</v>
      </c>
      <c r="L18" s="25" t="s">
        <v>2106</v>
      </c>
      <c r="M18" s="25" t="s">
        <v>79</v>
      </c>
      <c r="N18" s="25" t="s">
        <v>2107</v>
      </c>
      <c r="O18" s="25" t="s">
        <v>2108</v>
      </c>
      <c r="P18" s="25" t="s">
        <v>2109</v>
      </c>
      <c r="Q18" s="25" t="s">
        <v>1605</v>
      </c>
    </row>
    <row r="19" spans="1:17" ht="60" customHeight="1">
      <c r="A19" s="22" t="s">
        <v>47</v>
      </c>
      <c r="B19" s="22" t="s">
        <v>47</v>
      </c>
      <c r="C19" s="22" t="s">
        <v>2100</v>
      </c>
      <c r="D19" s="22" t="s">
        <v>2110</v>
      </c>
      <c r="E19" s="22" t="s">
        <v>2111</v>
      </c>
      <c r="F19" s="22" t="s">
        <v>2112</v>
      </c>
      <c r="G19" s="22" t="s">
        <v>1999</v>
      </c>
      <c r="H19" s="22" t="s">
        <v>79</v>
      </c>
      <c r="I19" s="22" t="s">
        <v>2113</v>
      </c>
      <c r="J19" s="22" t="s">
        <v>2011</v>
      </c>
      <c r="K19" s="22" t="s">
        <v>2114</v>
      </c>
      <c r="L19" s="22" t="s">
        <v>2106</v>
      </c>
      <c r="M19" s="22" t="s">
        <v>79</v>
      </c>
      <c r="N19" s="22" t="s">
        <v>2115</v>
      </c>
      <c r="O19" s="22" t="s">
        <v>2116</v>
      </c>
      <c r="P19" s="22" t="s">
        <v>2117</v>
      </c>
      <c r="Q19" s="22" t="s">
        <v>1605</v>
      </c>
    </row>
    <row r="20" spans="1:17" ht="18" customHeight="1">
      <c r="A20" s="69" t="s">
        <v>2118</v>
      </c>
      <c r="B20" s="75"/>
      <c r="C20" s="75"/>
      <c r="D20" s="75"/>
      <c r="E20" s="75"/>
      <c r="F20" s="75"/>
      <c r="G20" s="75"/>
      <c r="H20" s="75"/>
      <c r="I20" s="75"/>
      <c r="J20" s="75"/>
      <c r="K20" s="75"/>
      <c r="L20" s="75"/>
      <c r="M20" s="75"/>
      <c r="N20" s="75"/>
      <c r="O20" s="75"/>
      <c r="P20" s="75"/>
      <c r="Q20" s="75"/>
    </row>
    <row r="21" spans="1:17" ht="60" customHeight="1">
      <c r="A21" s="25" t="s">
        <v>47</v>
      </c>
      <c r="B21" s="25" t="s">
        <v>2119</v>
      </c>
      <c r="C21" s="25" t="s">
        <v>2120</v>
      </c>
      <c r="D21" s="25" t="s">
        <v>2121</v>
      </c>
      <c r="E21" s="25" t="s">
        <v>2122</v>
      </c>
      <c r="F21" s="25" t="s">
        <v>2123</v>
      </c>
      <c r="G21" s="25" t="s">
        <v>1999</v>
      </c>
      <c r="H21" s="25" t="s">
        <v>79</v>
      </c>
      <c r="I21" s="25" t="s">
        <v>2124</v>
      </c>
      <c r="J21" s="25" t="s">
        <v>2011</v>
      </c>
      <c r="K21" s="25" t="s">
        <v>2125</v>
      </c>
      <c r="L21" s="25" t="s">
        <v>2003</v>
      </c>
      <c r="M21" s="25" t="s">
        <v>79</v>
      </c>
      <c r="N21" s="25" t="s">
        <v>2126</v>
      </c>
      <c r="O21" s="25" t="s">
        <v>2127</v>
      </c>
      <c r="P21" s="25" t="s">
        <v>2128</v>
      </c>
      <c r="Q21" s="25" t="s">
        <v>553</v>
      </c>
    </row>
    <row r="22" spans="1:17" ht="60" customHeight="1">
      <c r="A22" s="22" t="s">
        <v>47</v>
      </c>
      <c r="B22" s="22" t="s">
        <v>2119</v>
      </c>
      <c r="C22" s="22" t="s">
        <v>2129</v>
      </c>
      <c r="D22" s="22" t="s">
        <v>2130</v>
      </c>
      <c r="E22" s="22" t="s">
        <v>2131</v>
      </c>
      <c r="F22" s="22" t="s">
        <v>2132</v>
      </c>
      <c r="G22" s="22" t="s">
        <v>2133</v>
      </c>
      <c r="H22" s="22" t="s">
        <v>72</v>
      </c>
      <c r="I22" s="22" t="s">
        <v>2134</v>
      </c>
      <c r="J22" s="22" t="s">
        <v>2135</v>
      </c>
      <c r="K22" s="22" t="s">
        <v>2136</v>
      </c>
      <c r="L22" s="22" t="s">
        <v>2003</v>
      </c>
      <c r="M22" s="22" t="s">
        <v>79</v>
      </c>
      <c r="N22" s="22" t="s">
        <v>2137</v>
      </c>
      <c r="O22" s="22" t="s">
        <v>2138</v>
      </c>
      <c r="P22" s="22" t="s">
        <v>2139</v>
      </c>
      <c r="Q22" s="22" t="s">
        <v>553</v>
      </c>
    </row>
    <row r="23" spans="1:17" ht="60" customHeight="1">
      <c r="A23" s="25" t="s">
        <v>47</v>
      </c>
      <c r="B23" s="25" t="s">
        <v>2119</v>
      </c>
      <c r="C23" s="25" t="s">
        <v>2140</v>
      </c>
      <c r="D23" s="25" t="s">
        <v>2141</v>
      </c>
      <c r="E23" s="25" t="s">
        <v>2142</v>
      </c>
      <c r="F23" s="25" t="s">
        <v>2143</v>
      </c>
      <c r="G23" s="25" t="s">
        <v>2144</v>
      </c>
      <c r="H23" s="25" t="s">
        <v>72</v>
      </c>
      <c r="I23" s="25" t="s">
        <v>2145</v>
      </c>
      <c r="J23" s="25" t="s">
        <v>2135</v>
      </c>
      <c r="K23" s="25" t="s">
        <v>2146</v>
      </c>
      <c r="L23" s="25" t="s">
        <v>2003</v>
      </c>
      <c r="M23" s="25" t="s">
        <v>79</v>
      </c>
      <c r="N23" s="25" t="s">
        <v>2147</v>
      </c>
      <c r="O23" s="25" t="s">
        <v>2148</v>
      </c>
      <c r="P23" s="25" t="s">
        <v>2149</v>
      </c>
      <c r="Q23" s="25" t="s">
        <v>553</v>
      </c>
    </row>
  </sheetData>
  <mergeCells count="6">
    <mergeCell ref="A20:Q20"/>
    <mergeCell ref="A1:Q1"/>
    <mergeCell ref="A2:Q2"/>
    <mergeCell ref="A4:Q4"/>
    <mergeCell ref="A9:Q9"/>
    <mergeCell ref="A15:Q1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CAC6-43A0-4003-8B1A-83800AF26C6B}">
  <dimension ref="A1:L17"/>
  <sheetViews>
    <sheetView zoomScaleNormal="100" workbookViewId="0">
      <pane ySplit="3" topLeftCell="A5" activePane="bottomLeft" state="frozen"/>
      <selection pane="bottomLeft"/>
    </sheetView>
  </sheetViews>
  <sheetFormatPr defaultColWidth="8.7109375" defaultRowHeight="15"/>
  <cols>
    <col min="1" max="1" width="14" customWidth="1"/>
    <col min="2" max="2" width="18" customWidth="1"/>
    <col min="3" max="3" width="22" customWidth="1"/>
    <col min="4" max="5" width="24" customWidth="1"/>
    <col min="6" max="6" width="36" customWidth="1"/>
    <col min="7" max="7" width="23.85546875" customWidth="1"/>
    <col min="8" max="8" width="14" customWidth="1"/>
    <col min="9" max="9" width="36" customWidth="1"/>
    <col min="10" max="10" width="16" customWidth="1"/>
    <col min="11" max="11" width="14" customWidth="1"/>
    <col min="12" max="12" width="22" customWidth="1"/>
  </cols>
  <sheetData>
    <row r="1" spans="1:12" ht="27.75" customHeight="1">
      <c r="A1" s="74" t="s">
        <v>2150</v>
      </c>
      <c r="B1" s="74"/>
      <c r="C1" s="74"/>
      <c r="D1" s="74"/>
      <c r="E1" s="74"/>
      <c r="F1" s="74"/>
      <c r="G1" s="74"/>
      <c r="H1" s="74"/>
      <c r="I1" s="74"/>
      <c r="J1" s="74"/>
      <c r="K1" s="74"/>
      <c r="L1" s="74"/>
    </row>
    <row r="2" spans="1:12" ht="15.75" customHeight="1">
      <c r="A2" s="72" t="s">
        <v>2151</v>
      </c>
      <c r="B2" s="72"/>
      <c r="C2" s="72"/>
      <c r="D2" s="72"/>
      <c r="E2" s="72"/>
      <c r="F2" s="72"/>
      <c r="G2" s="72"/>
      <c r="H2" s="72"/>
      <c r="I2" s="72"/>
      <c r="J2" s="72"/>
      <c r="K2" s="72"/>
      <c r="L2" s="72"/>
    </row>
    <row r="3" spans="1:12" ht="30" customHeight="1">
      <c r="A3" s="26" t="s">
        <v>14</v>
      </c>
      <c r="B3" s="26" t="s">
        <v>16</v>
      </c>
      <c r="C3" s="26" t="s">
        <v>18</v>
      </c>
      <c r="D3" s="26" t="s">
        <v>20</v>
      </c>
      <c r="E3" s="26" t="s">
        <v>22</v>
      </c>
      <c r="F3" s="26" t="s">
        <v>24</v>
      </c>
      <c r="G3" s="26" t="s">
        <v>26</v>
      </c>
      <c r="H3" s="26" t="s">
        <v>1490</v>
      </c>
      <c r="I3" s="26" t="s">
        <v>54</v>
      </c>
      <c r="J3" s="26" t="s">
        <v>1491</v>
      </c>
      <c r="K3" s="26" t="s">
        <v>1492</v>
      </c>
      <c r="L3" s="26" t="s">
        <v>1493</v>
      </c>
    </row>
    <row r="4" spans="1:12" ht="18" customHeight="1">
      <c r="A4" s="73" t="s">
        <v>1494</v>
      </c>
      <c r="B4" s="73"/>
      <c r="C4" s="73"/>
      <c r="D4" s="73"/>
      <c r="E4" s="73"/>
      <c r="F4" s="73"/>
      <c r="G4" s="73"/>
      <c r="H4" s="73"/>
      <c r="I4" s="73"/>
      <c r="J4" s="73"/>
      <c r="K4" s="73"/>
      <c r="L4" s="73"/>
    </row>
    <row r="5" spans="1:12" ht="45" customHeight="1">
      <c r="A5" s="20" t="s">
        <v>1950</v>
      </c>
      <c r="B5" s="20" t="s">
        <v>291</v>
      </c>
      <c r="C5" s="20" t="s">
        <v>1496</v>
      </c>
      <c r="D5" s="20" t="s">
        <v>2152</v>
      </c>
      <c r="E5" s="20" t="s">
        <v>1499</v>
      </c>
      <c r="F5" s="20" t="s">
        <v>2153</v>
      </c>
      <c r="G5" s="20" t="s">
        <v>2154</v>
      </c>
      <c r="H5" s="20" t="s">
        <v>72</v>
      </c>
      <c r="I5" s="20" t="s">
        <v>2155</v>
      </c>
      <c r="J5" s="20" t="s">
        <v>1503</v>
      </c>
      <c r="K5" s="20" t="s">
        <v>72</v>
      </c>
      <c r="L5" s="20" t="s">
        <v>2156</v>
      </c>
    </row>
    <row r="6" spans="1:12" ht="45" customHeight="1">
      <c r="A6" s="27" t="s">
        <v>1950</v>
      </c>
      <c r="B6" s="27" t="s">
        <v>291</v>
      </c>
      <c r="C6" s="27" t="s">
        <v>1496</v>
      </c>
      <c r="D6" s="27" t="s">
        <v>1508</v>
      </c>
      <c r="E6" s="27" t="s">
        <v>1509</v>
      </c>
      <c r="F6" s="27" t="s">
        <v>2157</v>
      </c>
      <c r="G6" s="27" t="s">
        <v>2158</v>
      </c>
      <c r="H6" s="27" t="s">
        <v>72</v>
      </c>
      <c r="I6" s="27" t="s">
        <v>1512</v>
      </c>
      <c r="J6" s="27" t="s">
        <v>1513</v>
      </c>
      <c r="K6" s="27" t="s">
        <v>72</v>
      </c>
      <c r="L6" s="27" t="s">
        <v>1514</v>
      </c>
    </row>
    <row r="7" spans="1:12" ht="18" customHeight="1">
      <c r="A7" s="73" t="s">
        <v>2159</v>
      </c>
      <c r="B7" s="73"/>
      <c r="C7" s="73"/>
      <c r="D7" s="73"/>
      <c r="E7" s="73"/>
      <c r="F7" s="73"/>
      <c r="G7" s="73"/>
      <c r="H7" s="73"/>
      <c r="I7" s="73"/>
      <c r="J7" s="73"/>
      <c r="K7" s="73"/>
      <c r="L7" s="73"/>
    </row>
    <row r="8" spans="1:12" ht="45" customHeight="1">
      <c r="A8" s="27" t="s">
        <v>1950</v>
      </c>
      <c r="B8" s="27" t="s">
        <v>1760</v>
      </c>
      <c r="C8" s="27" t="s">
        <v>1761</v>
      </c>
      <c r="D8" s="27" t="s">
        <v>2160</v>
      </c>
      <c r="E8" s="27" t="s">
        <v>2161</v>
      </c>
      <c r="F8" s="27" t="s">
        <v>2162</v>
      </c>
      <c r="G8" s="27" t="s">
        <v>2163</v>
      </c>
      <c r="H8" s="27" t="s">
        <v>72</v>
      </c>
      <c r="I8" s="27" t="s">
        <v>2164</v>
      </c>
      <c r="J8" s="27" t="s">
        <v>2165</v>
      </c>
      <c r="K8" s="27" t="s">
        <v>72</v>
      </c>
      <c r="L8" s="27" t="s">
        <v>2166</v>
      </c>
    </row>
    <row r="9" spans="1:12" ht="45" customHeight="1">
      <c r="A9" s="20" t="s">
        <v>1950</v>
      </c>
      <c r="B9" s="20" t="s">
        <v>1760</v>
      </c>
      <c r="C9" s="20" t="s">
        <v>2167</v>
      </c>
      <c r="D9" s="20" t="s">
        <v>2168</v>
      </c>
      <c r="E9" s="20" t="s">
        <v>2169</v>
      </c>
      <c r="F9" s="20" t="s">
        <v>2170</v>
      </c>
      <c r="G9" s="20" t="s">
        <v>2171</v>
      </c>
      <c r="H9" s="20" t="s">
        <v>72</v>
      </c>
      <c r="I9" s="20" t="s">
        <v>2172</v>
      </c>
      <c r="J9" s="20" t="s">
        <v>2173</v>
      </c>
      <c r="K9" s="20" t="s">
        <v>72</v>
      </c>
      <c r="L9" s="20" t="s">
        <v>1823</v>
      </c>
    </row>
    <row r="10" spans="1:12" ht="18" customHeight="1">
      <c r="A10" s="73" t="s">
        <v>2174</v>
      </c>
      <c r="B10" s="73"/>
      <c r="C10" s="73"/>
      <c r="D10" s="73"/>
      <c r="E10" s="73"/>
      <c r="F10" s="73"/>
      <c r="G10" s="73"/>
      <c r="H10" s="73"/>
      <c r="I10" s="73"/>
      <c r="J10" s="73"/>
      <c r="K10" s="73"/>
      <c r="L10" s="73"/>
    </row>
    <row r="11" spans="1:12" ht="45" customHeight="1">
      <c r="A11" s="20" t="s">
        <v>1950</v>
      </c>
      <c r="B11" s="20" t="s">
        <v>291</v>
      </c>
      <c r="C11" s="20" t="s">
        <v>2175</v>
      </c>
      <c r="D11" s="20" t="s">
        <v>1531</v>
      </c>
      <c r="E11" s="20" t="s">
        <v>2176</v>
      </c>
      <c r="F11" s="20" t="s">
        <v>2177</v>
      </c>
      <c r="G11" s="20" t="s">
        <v>1534</v>
      </c>
      <c r="H11" s="20" t="s">
        <v>72</v>
      </c>
      <c r="I11" s="20" t="s">
        <v>2178</v>
      </c>
      <c r="J11" s="20" t="s">
        <v>1536</v>
      </c>
      <c r="K11" s="20" t="s">
        <v>72</v>
      </c>
      <c r="L11" s="20" t="s">
        <v>1537</v>
      </c>
    </row>
    <row r="12" spans="1:12" ht="45" customHeight="1">
      <c r="A12" s="27" t="s">
        <v>1950</v>
      </c>
      <c r="B12" s="27" t="s">
        <v>291</v>
      </c>
      <c r="C12" s="27" t="s">
        <v>2175</v>
      </c>
      <c r="D12" s="27" t="s">
        <v>1541</v>
      </c>
      <c r="E12" s="27" t="s">
        <v>2179</v>
      </c>
      <c r="F12" s="27" t="s">
        <v>2180</v>
      </c>
      <c r="G12" s="27" t="s">
        <v>1534</v>
      </c>
      <c r="H12" s="27" t="s">
        <v>72</v>
      </c>
      <c r="I12" s="27" t="s">
        <v>1544</v>
      </c>
      <c r="J12" s="27" t="s">
        <v>1536</v>
      </c>
      <c r="K12" s="27" t="s">
        <v>72</v>
      </c>
      <c r="L12" s="27" t="s">
        <v>1545</v>
      </c>
    </row>
    <row r="13" spans="1:12" ht="45" customHeight="1">
      <c r="A13" s="20" t="s">
        <v>1950</v>
      </c>
      <c r="B13" s="20" t="s">
        <v>291</v>
      </c>
      <c r="C13" s="20" t="s">
        <v>2175</v>
      </c>
      <c r="D13" s="20" t="s">
        <v>1549</v>
      </c>
      <c r="E13" s="20" t="s">
        <v>2181</v>
      </c>
      <c r="F13" s="20" t="s">
        <v>2182</v>
      </c>
      <c r="G13" s="20" t="s">
        <v>1552</v>
      </c>
      <c r="H13" s="20" t="s">
        <v>72</v>
      </c>
      <c r="I13" s="20" t="s">
        <v>1553</v>
      </c>
      <c r="J13" s="20" t="s">
        <v>1536</v>
      </c>
      <c r="K13" s="20" t="s">
        <v>72</v>
      </c>
      <c r="L13" s="20" t="s">
        <v>1545</v>
      </c>
    </row>
    <row r="14" spans="1:12" ht="45" customHeight="1">
      <c r="A14" s="27" t="s">
        <v>1950</v>
      </c>
      <c r="B14" s="27" t="s">
        <v>291</v>
      </c>
      <c r="C14" s="27" t="s">
        <v>2175</v>
      </c>
      <c r="D14" s="27" t="s">
        <v>1557</v>
      </c>
      <c r="E14" s="27" t="s">
        <v>2183</v>
      </c>
      <c r="F14" s="27" t="s">
        <v>2184</v>
      </c>
      <c r="G14" s="27" t="s">
        <v>1560</v>
      </c>
      <c r="H14" s="27" t="s">
        <v>72</v>
      </c>
      <c r="I14" s="27" t="s">
        <v>2185</v>
      </c>
      <c r="J14" s="27" t="s">
        <v>1536</v>
      </c>
      <c r="K14" s="27" t="s">
        <v>72</v>
      </c>
      <c r="L14" s="27" t="s">
        <v>2186</v>
      </c>
    </row>
    <row r="15" spans="1:12" ht="18" customHeight="1">
      <c r="A15" s="73" t="s">
        <v>1566</v>
      </c>
      <c r="B15" s="73"/>
      <c r="C15" s="73"/>
      <c r="D15" s="73"/>
      <c r="E15" s="73"/>
      <c r="F15" s="73"/>
      <c r="G15" s="73"/>
      <c r="H15" s="73"/>
      <c r="I15" s="73"/>
      <c r="J15" s="73"/>
      <c r="K15" s="73"/>
      <c r="L15" s="73"/>
    </row>
    <row r="16" spans="1:12" ht="45" customHeight="1">
      <c r="A16" s="27" t="s">
        <v>1950</v>
      </c>
      <c r="B16" s="27" t="s">
        <v>1567</v>
      </c>
      <c r="C16" s="27" t="s">
        <v>1568</v>
      </c>
      <c r="D16" s="27" t="s">
        <v>1569</v>
      </c>
      <c r="E16" s="27" t="s">
        <v>1570</v>
      </c>
      <c r="F16" s="27" t="s">
        <v>1989</v>
      </c>
      <c r="G16" s="27" t="s">
        <v>1572</v>
      </c>
      <c r="H16" s="27" t="s">
        <v>72</v>
      </c>
      <c r="I16" s="27" t="s">
        <v>1573</v>
      </c>
      <c r="J16" s="27" t="s">
        <v>1574</v>
      </c>
      <c r="K16" s="27" t="s">
        <v>72</v>
      </c>
      <c r="L16" s="27" t="s">
        <v>1575</v>
      </c>
    </row>
    <row r="17" spans="1:12" ht="45" customHeight="1">
      <c r="A17" s="20" t="s">
        <v>1950</v>
      </c>
      <c r="B17" s="20" t="s">
        <v>1567</v>
      </c>
      <c r="C17" s="20" t="s">
        <v>2187</v>
      </c>
      <c r="D17" s="20" t="s">
        <v>2188</v>
      </c>
      <c r="E17" s="20" t="s">
        <v>1519</v>
      </c>
      <c r="F17" s="20" t="s">
        <v>2189</v>
      </c>
      <c r="G17" s="20" t="s">
        <v>1521</v>
      </c>
      <c r="H17" s="20" t="s">
        <v>72</v>
      </c>
      <c r="I17" s="20" t="s">
        <v>1522</v>
      </c>
      <c r="J17" s="20" t="s">
        <v>1523</v>
      </c>
      <c r="K17" s="20" t="s">
        <v>72</v>
      </c>
      <c r="L17" s="20" t="s">
        <v>1524</v>
      </c>
    </row>
  </sheetData>
  <mergeCells count="6">
    <mergeCell ref="A15:L15"/>
    <mergeCell ref="A1:L1"/>
    <mergeCell ref="A2:L2"/>
    <mergeCell ref="A4:L4"/>
    <mergeCell ref="A7:L7"/>
    <mergeCell ref="A10:L10"/>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1ff0e1b-3131-44b4-aa58-375e2b2b0355" xsi:nil="true"/>
    <lcf76f155ced4ddcb4097134ff3c332f xmlns="81b80d43-56a0-4501-9bd0-7823e73bcce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D5BFC2A050984E85E1803DBADECA34" ma:contentTypeVersion="11" ma:contentTypeDescription="Create a new document." ma:contentTypeScope="" ma:versionID="0435222442784c7e444ff3d320183d9e">
  <xsd:schema xmlns:xsd="http://www.w3.org/2001/XMLSchema" xmlns:xs="http://www.w3.org/2001/XMLSchema" xmlns:p="http://schemas.microsoft.com/office/2006/metadata/properties" xmlns:ns2="81b80d43-56a0-4501-9bd0-7823e73bccea" xmlns:ns3="41ff0e1b-3131-44b4-aa58-375e2b2b0355" targetNamespace="http://schemas.microsoft.com/office/2006/metadata/properties" ma:root="true" ma:fieldsID="c6bd4742d9d6520763dd33a4fdc44631" ns2:_="" ns3:_="">
    <xsd:import namespace="81b80d43-56a0-4501-9bd0-7823e73bccea"/>
    <xsd:import namespace="41ff0e1b-3131-44b4-aa58-375e2b2b03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b80d43-56a0-4501-9bd0-7823e73bcc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f0d6f95-75e0-4db0-b03e-0c384408873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ff0e1b-3131-44b4-aa58-375e2b2b035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2db54aa-5294-41d6-a75d-959a1721dfc3}" ma:internalName="TaxCatchAll" ma:showField="CatchAllData" ma:web="41ff0e1b-3131-44b4-aa58-375e2b2b03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1248CD-387D-4876-9DA4-4B99C3D87F6F}"/>
</file>

<file path=customXml/itemProps2.xml><?xml version="1.0" encoding="utf-8"?>
<ds:datastoreItem xmlns:ds="http://schemas.openxmlformats.org/officeDocument/2006/customXml" ds:itemID="{623E5CEA-C56B-4E53-BE0F-DA06958B0F5A}"/>
</file>

<file path=customXml/itemProps3.xml><?xml version="1.0" encoding="utf-8"?>
<ds:datastoreItem xmlns:ds="http://schemas.openxmlformats.org/officeDocument/2006/customXml" ds:itemID="{69FF3E9E-F61D-4946-B59A-968BF60740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2026-03-11T12:35:56Z</dcterms:created>
  <dcterms:modified xsi:type="dcterms:W3CDTF">2026-07-06T12:10:14Z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0x01010090D5BFC2A050984E85E1803DBADECA34</vt:lpwstr>
  </property>
  <property fmtid="{D5CDD505-2E9C-101B-9397-08002B2CF9AE}" pid="3" name="MediaServiceImageTags">
    <vt:lpwstr/>
  </property>
</Properties>
</file>